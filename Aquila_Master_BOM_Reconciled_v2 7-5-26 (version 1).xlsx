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OMNI\Vern\AQUILA Sovereign platform\"/>
    </mc:Choice>
  </mc:AlternateContent>
  <xr:revisionPtr revIDLastSave="0" documentId="8_{739FB1B3-6202-4A4C-9654-9D3F864A323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ster BOM" sheetId="1" r:id="rId1"/>
    <sheet name="System Summary" sheetId="2" r:id="rId2"/>
    <sheet name="Bio-Intel DNA Stack" sheetId="3" r:id="rId3"/>
    <sheet name="RLVR Reward Matrix" sheetId="4" r:id="rId4"/>
    <sheet name="Claude Code Setup" sheetId="5" r:id="rId5"/>
    <sheet name="Pneumatic Sample System" sheetId="6" r:id="rId6"/>
    <sheet name="Sheet1" sheetId="9" r:id="rId7"/>
    <sheet name="Sheet2" sheetId="10" r:id="rId8"/>
    <sheet name="Mission Coordinates" sheetId="7" r:id="rId9"/>
    <sheet name="NASARAP Manufacturing" sheetId="8" r:id="rId10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6" l="1"/>
  <c r="H18" i="6"/>
  <c r="G18" i="6"/>
  <c r="H85" i="1"/>
  <c r="H84" i="1"/>
  <c r="H83" i="1"/>
  <c r="H82" i="1"/>
  <c r="H81" i="1"/>
  <c r="H80" i="1"/>
  <c r="H79" i="1"/>
  <c r="H86" i="1" s="1"/>
  <c r="H8" i="1" s="1"/>
  <c r="H78" i="1"/>
  <c r="H77" i="1"/>
  <c r="H76" i="1"/>
  <c r="H75" i="1"/>
  <c r="H74" i="1"/>
  <c r="H73" i="1"/>
  <c r="H72" i="1"/>
  <c r="H67" i="1"/>
  <c r="H66" i="1"/>
  <c r="H65" i="1"/>
  <c r="H64" i="1"/>
  <c r="H63" i="1"/>
  <c r="H68" i="1" s="1"/>
  <c r="H7" i="1" s="1"/>
  <c r="H58" i="1"/>
  <c r="H57" i="1"/>
  <c r="H56" i="1"/>
  <c r="H55" i="1"/>
  <c r="H59" i="1" s="1"/>
  <c r="H6" i="1" s="1"/>
  <c r="H51" i="1"/>
  <c r="H5" i="1" s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4" i="1"/>
  <c r="H4" i="1" s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9" i="1" l="1"/>
</calcChain>
</file>

<file path=xl/sharedStrings.xml><?xml version="1.0" encoding="utf-8"?>
<sst xmlns="http://schemas.openxmlformats.org/spreadsheetml/2006/main" count="1053" uniqueCount="829">
  <si>
    <t>🦅  AQUILA — RECONCILED MASTER BOM  ·  Orphan-Well Leak Detection  ·  Rev 2.0</t>
  </si>
  <si>
    <t>Phase 1 = operational detection stack (fly now) · Deferred = not required to find/rank leaks</t>
  </si>
  <si>
    <t>PHASE 1 — Operational stack value</t>
  </si>
  <si>
    <t>DEFERRED — Hydrogen lift (pick ONE platform)</t>
  </si>
  <si>
    <t>DEFERRED — Bio / DNA (ground wet-lab, not aerial)</t>
  </si>
  <si>
    <t>DEFERRED — Phase 2 sensors / sim</t>
  </si>
  <si>
    <t>DEFERRED — Phase 3 swarm / seismic scale</t>
  </si>
  <si>
    <t>GRAND TOTAL (all phases)</t>
  </si>
  <si>
    <t>SECTION 1 · PHASE 1 — OPERATIONAL LEAK-DETECTION STACK  (fly now, ~$0 new spend if in-hand)</t>
  </si>
  <si>
    <t>ID</t>
  </si>
  <si>
    <t>Subsystem</t>
  </si>
  <si>
    <t>Component / Model</t>
  </si>
  <si>
    <t>Qty</t>
  </si>
  <si>
    <t>Dimensions (mm)</t>
  </si>
  <si>
    <t>Weight (g)</t>
  </si>
  <si>
    <t>Unit Cost (USD)</t>
  </si>
  <si>
    <t>Ext. Cost (USD)</t>
  </si>
  <si>
    <t>Key Specifications</t>
  </si>
  <si>
    <t>Stack Layer</t>
  </si>
  <si>
    <t>Status</t>
  </si>
  <si>
    <t>Source / Datasheet</t>
  </si>
  <si>
    <t>UAV-001</t>
  </si>
  <si>
    <t>Drone Platform</t>
  </si>
  <si>
    <t>1,325×1,325×260</t>
  </si>
  <si>
    <t>13,600</t>
  </si>
  <si>
    <t>35 lb payload; ActiveBlade VR; 30 min; RTK-ready</t>
  </si>
  <si>
    <t>Platform</t>
  </si>
  <si>
    <t>✅ Confirmed</t>
  </si>
  <si>
    <t>PWR-001</t>
  </si>
  <si>
    <t>Flight Battery</t>
  </si>
  <si>
    <t>Tattu Plus 22 LiPo 22Ah</t>
  </si>
  <si>
    <t>215×90×75</t>
  </si>
  <si>
    <t>2,300</t>
  </si>
  <si>
    <t>976 Wh; 25C discharge; Smart telemetry</t>
  </si>
  <si>
    <t>Power</t>
  </si>
  <si>
    <t>PWR-002</t>
  </si>
  <si>
    <t>Payload Battery</t>
  </si>
  <si>
    <t>Bioenno 24V 20Ah LiFePO₄</t>
  </si>
  <si>
    <t>180×75×160</t>
  </si>
  <si>
    <t>2,600</t>
  </si>
  <si>
    <t>480 W continuous; 2,000+ cycle life</t>
  </si>
  <si>
    <t>CMP-001</t>
  </si>
  <si>
    <t>Compute Core</t>
  </si>
  <si>
    <t>NVIDIA Jetson AGX Orin 64GB Dev Kit</t>
  </si>
  <si>
    <t>110×110×72</t>
  </si>
  <si>
    <t>~1,350</t>
  </si>
  <si>
    <t>275 TOPS AI; 2048 CUDA cores; 64GB LPDDR5</t>
  </si>
  <si>
    <t>3 · Chemistry / Edge Brain</t>
  </si>
  <si>
    <t>https://www.seeedstudio.com/NVIDIArJetson-AGX-Orintm-64GB-Developer-Kit-p-5641.html</t>
  </si>
  <si>
    <t>CMP-002</t>
  </si>
  <si>
    <t>Carrier Board</t>
  </si>
  <si>
    <t>GAUNTLET AGX Thor Carrier Board</t>
  </si>
  <si>
    <t>155×126×5</t>
  </si>
  <si>
    <t>~300</t>
  </si>
  <si>
    <t>PCIe Gen3 ×8; 3× USB 3.1; 2× GbE; 2× HDMI; NVMe</t>
  </si>
  <si>
    <t>https://connecttech.com/ftp/pdf/AGX301_Gauntlet-Integrated.pdf</t>
  </si>
  <si>
    <t>GPR-001</t>
  </si>
  <si>
    <t>Subsurface Radar</t>
  </si>
  <si>
    <t>RadSys Zond Aero LF 50 MHz GPR</t>
  </si>
  <si>
    <t>260×160×40</t>
  </si>
  <si>
    <t>1,200</t>
  </si>
  <si>
    <t>50 MHz; ~30 ft depth; carbon-shielded array; RTM-ready</t>
  </si>
  <si>
    <t>2 · Physics / RTM</t>
  </si>
  <si>
    <t>STB-001</t>
  </si>
  <si>
    <t>Gimbal</t>
  </si>
  <si>
    <t>Gremsy T3V3 3-Axis</t>
  </si>
  <si>
    <t>240×200×180</t>
  </si>
  <si>
    <t>1,950</t>
  </si>
  <si>
    <t>Sub-milliradian; ≤8 kg payload; SBUS/Ethernet ctrl</t>
  </si>
  <si>
    <t>Structure</t>
  </si>
  <si>
    <t>STR-001</t>
  </si>
  <si>
    <t>Payload Shell</t>
  </si>
  <si>
    <t>Carbon Fiber OmniSpectral Housing</t>
  </si>
  <si>
    <t>Ø300×270</t>
  </si>
  <si>
    <t>1,800</t>
  </si>
  <si>
    <t>Modular frame; EMI-shielded bays; gimbal mounts</t>
  </si>
  <si>
    <t>OPT-001</t>
  </si>
  <si>
    <t>EO/IR Camera</t>
  </si>
  <si>
    <t>FLIR Hadron 640R (LWIR + RGB)</t>
  </si>
  <si>
    <t>44×44×32</t>
  </si>
  <si>
    <t>45</t>
  </si>
  <si>
    <t>640×512 thermal + 12 MP RGB; &lt;1.8 W; gimbal-mounted</t>
  </si>
  <si>
    <t>1 · Space / Recon</t>
  </si>
  <si>
    <t>OPT-002</t>
  </si>
  <si>
    <t>Photogrammetry Cam</t>
  </si>
  <si>
    <t>Sony ILX-LR1 (61 MP)</t>
  </si>
  <si>
    <t>100×75×65</t>
  </si>
  <si>
    <t>3</t>
  </si>
  <si>
    <t>61 MP Full-Frame Exmor R; ortho mapping</t>
  </si>
  <si>
    <t>https://www.bhphotovideo.com/c/product/1785754-REG/sony_ilx_lr1_industrial_camera.html</t>
  </si>
  <si>
    <t>OPT-003</t>
  </si>
  <si>
    <t>Stereo Vision</t>
  </si>
  <si>
    <t>Stereolabs ZED 2i</t>
  </si>
  <si>
    <t>175×30×33</t>
  </si>
  <si>
    <t>166</t>
  </si>
  <si>
    <t>IP66; VIO; 120 fps; GPS-denied nav; Jetson-native SDK</t>
  </si>
  <si>
    <t>1 · Space / NAV</t>
  </si>
  <si>
    <t>NAV-001</t>
  </si>
  <si>
    <t>Range Sensor</t>
  </si>
  <si>
    <t>Garmin LIDAR-Lite v4</t>
  </si>
  <si>
    <t>20×48×40</t>
  </si>
  <si>
    <t>80</t>
  </si>
  <si>
    <t>0.02 m accuracy; I²C/BLE; AGL altitude hold</t>
  </si>
  <si>
    <t>NAV</t>
  </si>
  <si>
    <t>CHE-001</t>
  </si>
  <si>
    <t>QCL Laser</t>
  </si>
  <si>
    <t>Hamamatsu L12004-2190H-C (QCL)</t>
  </si>
  <si>
    <t>120×60×40</t>
  </si>
  <si>
    <t>450</t>
  </si>
  <si>
    <t>4.6 µm mid-IR; TEC-cooled; active spectroscopy</t>
  </si>
  <si>
    <t>3 · Chemistry</t>
  </si>
  <si>
    <t>CHE-002</t>
  </si>
  <si>
    <t>IR Detector</t>
  </si>
  <si>
    <t>Vigo PVI-4TE-5 (TEC-cooled MCT)</t>
  </si>
  <si>
    <t>40×40×30</t>
  </si>
  <si>
    <t>250</t>
  </si>
  <si>
    <t>3–5 µm; reads QCL backscatter for trace minerals</t>
  </si>
  <si>
    <t>CHE-003</t>
  </si>
  <si>
    <t>PAS Detector</t>
  </si>
  <si>
    <t>Brüel &amp; Kjær Type 4955</t>
  </si>
  <si>
    <t>50×50×70</t>
  </si>
  <si>
    <t>220</t>
  </si>
  <si>
    <t>15 dBA sensitivity; photoacoustic 'pop' detection</t>
  </si>
  <si>
    <t>CHE-004</t>
  </si>
  <si>
    <t>Micro-Spectrometer</t>
  </si>
  <si>
    <t>Hamamatsu C12880MA</t>
  </si>
  <si>
    <t>27×13×8</t>
  </si>
  <si>
    <t>10</t>
  </si>
  <si>
    <t>340–850 nm VIS/NIR; CMOS; mineral fingerprinting</t>
  </si>
  <si>
    <t>CHE-005</t>
  </si>
  <si>
    <t>VOC Sensor</t>
  </si>
  <si>
    <t>Seeed Multi-VOC Grove (SGP30)</t>
  </si>
  <si>
    <t>25×20×10</t>
  </si>
  <si>
    <t>12</t>
  </si>
  <si>
    <t>eCO₂ + TVOC; stibnite/biogenic gas halo detection</t>
  </si>
  <si>
    <t>AUD-001</t>
  </si>
  <si>
    <t>Mic Array</t>
  </si>
  <si>
    <t>ReSpeaker 4-Mic Array</t>
  </si>
  <si>
    <t>Ø70×12</t>
  </si>
  <si>
    <t>Quad-channel I²S/TDM; ACE / Audio2Face feed</t>
  </si>
  <si>
    <t>6 · Avatar / ACE</t>
  </si>
  <si>
    <t>AUD-002</t>
  </si>
  <si>
    <t>Impulse Mic</t>
  </si>
  <si>
    <t>SPH0645LM4H MEMS</t>
  </si>
  <si>
    <t>3.5×2.6×1</t>
  </si>
  <si>
    <t>&lt;1</t>
  </si>
  <si>
    <t>65 dB(A) sensitivity; PAS impulse detection</t>
  </si>
  <si>
    <t>ENV-001</t>
  </si>
  <si>
    <t>Env. Sensor</t>
  </si>
  <si>
    <t>Sensirion SGP30 + SHT31</t>
  </si>
  <si>
    <t>20×15×5</t>
  </si>
  <si>
    <t>6</t>
  </si>
  <si>
    <t>TVOC; CO₂eq; RH; pressure-correction for QCL</t>
  </si>
  <si>
    <t>SW-REPRO-001</t>
  </si>
  <si>
    <t>Re-purposing Layer</t>
  </si>
  <si>
    <t>Orphan-Well Mission Profile (custom n8n workflow)</t>
  </si>
  <si>
    <t>Git repo</t>
  </si>
  <si>
    <t>0</t>
  </si>
  <si>
    <t>Reframes "shot points" → NASA EMIT methane hotspot coords; reframes "recording areas" → 2km² orphan-well cells; integrates NISAR displacement timeseries</t>
  </si>
  <si>
    <t>Software · Mission</t>
  </si>
  <si>
    <t>⏳ Phase 3 Upgrade</t>
  </si>
  <si>
    <t>Our IP — the seismic-to-orphan-well translation</t>
  </si>
  <si>
    <t xml:space="preserve">  Subtotal — SECTION 1 · PHASE 1</t>
  </si>
  <si>
    <t>SECTION 2A · DEFERRED — HYDROGEN LONG-ENDURANCE LIFT  (Firefly AND Doosan present — redundant, choose one)</t>
  </si>
  <si>
    <t>UAV-FLY-001</t>
  </si>
  <si>
    <t>Parallel Flight Firefly (Hybrid)</t>
  </si>
  <si>
    <t>2,200×2,200×1,000</t>
  </si>
  <si>
    <t>54,000</t>
  </si>
  <si>
    <t>100 lb payload; 1.4 hr endurance; Parallel Hybrid propulsion; 2 kW payload power; Ballistic parachute; ADS-B; BVLOS; &lt;5 min refuel / arm-swap</t>
  </si>
  <si>
    <t>⏳ Phase 2 Primary</t>
  </si>
  <si>
    <t>https://parallelflight.com/</t>
  </si>
  <si>
    <t>UAV-H2-001</t>
  </si>
  <si>
    <t>Doosan DS30W Hydrogen Drone</t>
  </si>
  <si>
    <t>1,910×1,910×740</t>
  </si>
  <si>
    <t>10,500</t>
  </si>
  <si>
    <t>5 kg payload; ~120 min flight — VENDOR-UNVERIFIED; IP43</t>
  </si>
  <si>
    <t>⏳ Deferred · verify w/ vendor</t>
  </si>
  <si>
    <t>PWR-H2-001</t>
  </si>
  <si>
    <t>Doosan DP30 Mobile Powerpack</t>
  </si>
  <si>
    <t>300×250×200</t>
  </si>
  <si>
    <t>3,200</t>
  </si>
  <si>
    <t>PEMFC fuel cell; 2.6 kW max — VENDOR-UNVERIFIED</t>
  </si>
  <si>
    <t>PWR-H2-002</t>
  </si>
  <si>
    <t>10.8L Type 4 Composite H₂ Cylinder</t>
  </si>
  <si>
    <t>550×200×200</t>
  </si>
  <si>
    <t>3,500</t>
  </si>
  <si>
    <t>350 bar (5,000 PSI) compressed H₂ — HAZMAT, see risk note</t>
  </si>
  <si>
    <t>PWR-FLY-001</t>
  </si>
  <si>
    <t>Power Conversion</t>
  </si>
  <si>
    <t>Buck Converter: 48V to 19.5V Step-Down</t>
  </si>
  <si>
    <t>120x80x50</t>
  </si>
  <si>
    <t>3kW max; Direct tap from Firefly hybrid power bus; 19.5V for Jetson Thor</t>
  </si>
  <si>
    <t>Confirmed</t>
  </si>
  <si>
    <t>Eliminates separate LiPo; unlimited flight duration</t>
  </si>
  <si>
    <t>THR-FLY-001</t>
  </si>
  <si>
    <t>Thermal Management</t>
  </si>
  <si>
    <t>Carbon Fiber Heat Shield + Reflective Tape</t>
  </si>
  <si>
    <t>400x350x25</t>
  </si>
  <si>
    <t>Protects DrACO N2 sphere from engine block heat; Prevents thermal rupture</t>
  </si>
  <si>
    <t>Hardware</t>
  </si>
  <si>
    <t>CRITICAL for 122kg aircraft safety</t>
  </si>
  <si>
    <t>MNT-FLY-001</t>
  </si>
  <si>
    <t>Mechanical Interface</t>
  </si>
  <si>
    <t>CNC Aluminum 15mm Rail Block Clamps</t>
  </si>
  <si>
    <t>80x60x40</t>
  </si>
  <si>
    <t>Mate Alta X Toad-in-Hole to Firefly rails; Quick-release payload pod</t>
  </si>
  <si>
    <t>Enables payload modularity between platforms</t>
  </si>
  <si>
    <t>STR-POD-001</t>
  </si>
  <si>
    <t>Payload Pod</t>
  </si>
  <si>
    <t>Copterlab Vibration Dampener (Firefly Edition)</t>
  </si>
  <si>
    <t>200x150x80</t>
  </si>
  <si>
    <t>Isolates Jetson &amp; MinION from aircraft vibration; Multi-axis damping</t>
  </si>
  <si>
    <t>TOP LAYER: Direct under quick-release mount</t>
  </si>
  <si>
    <t>STR-POD-002</t>
  </si>
  <si>
    <t>goBILDA Aluminum Grid Frame (Custom)</t>
  </si>
  <si>
    <t>600x500x400</t>
  </si>
  <si>
    <t>15mm grid; 3-zone vertical stacking; Rigid mounting for DrACO sphere</t>
  </si>
  <si>
    <t>MIDDLE LAYER: Pressure deck &amp; DrACO N2 sphere</t>
  </si>
  <si>
    <t>STR-POD-003</t>
  </si>
  <si>
    <t>QCL Spectrometer Drop Winch Assembly</t>
  </si>
  <si>
    <t>250x150x120</t>
  </si>
  <si>
    <t>NEO 550 motor + carbon fiber cable; 50 ft descent; Real-time tension feedback</t>
  </si>
  <si>
    <t>BOTTOM LAYER: Unobstructed laser view; far from exhaust</t>
  </si>
  <si>
    <t>ACT-REV-001</t>
  </si>
  <si>
    <t>Actuation</t>
  </si>
  <si>
    <t>REV UltraPlanetary Gearbox (REV-41-1600)</t>
  </si>
  <si>
    <t>80x60x50</t>
  </si>
  <si>
    <t>Zero-backlash planetary; 58-cup carousel indexer; Space-grade precision</t>
  </si>
  <si>
    <t>Prevents cross-contamination via pneumatic seal lock</t>
  </si>
  <si>
    <t>ACT-REV-002</t>
  </si>
  <si>
    <t>REV NEO 550 Brushless Motor</t>
  </si>
  <si>
    <t>35x35x35</t>
  </si>
  <si>
    <t>11,000 RPM; 50 ft sensor drop; QCL spectrometer descent control</t>
  </si>
  <si>
    <t>Isolates sensors from Firefly engine noise/exhaust</t>
  </si>
  <si>
    <t>CTL-REV-001</t>
  </si>
  <si>
    <t>Control Electronics</t>
  </si>
  <si>
    <t>REV SPARK MAX Motor Controller</t>
  </si>
  <si>
    <t>70x35x15</t>
  </si>
  <si>
    <t>Closed-loop PID; Jetson Thor GPIO/PWM integration; CAN bus capable</t>
  </si>
  <si>
    <t>Jetson micro-adjusts winch hundreds of times per sec</t>
  </si>
  <si>
    <t xml:space="preserve">  Subtotal — SECTION 2A · DEFERRED</t>
  </si>
  <si>
    <t>SECTION 2B · DEFERRED — BIO / DNA STACK  (benchtop wet-lab workflow; not an in-flight assay)</t>
  </si>
  <si>
    <t>BIO-001</t>
  </si>
  <si>
    <t>DNA Sequencer</t>
  </si>
  <si>
    <t>Oxford Nanopore MinION Mk1C</t>
  </si>
  <si>
    <t>105×23×33</t>
  </si>
  <si>
    <t>87</t>
  </si>
  <si>
    <t>Real-time field sequencing; USB-C to Jetson Orin</t>
  </si>
  <si>
    <t>Bio-Intel</t>
  </si>
  <si>
    <t>🔧 Prototype</t>
  </si>
  <si>
    <t>BIO-002</t>
  </si>
  <si>
    <t>Fluidic Interface</t>
  </si>
  <si>
    <t>Micro-Peristaltic Pump (Custom)</t>
  </si>
  <si>
    <t>60×40×30</t>
  </si>
  <si>
    <t>120</t>
  </si>
  <si>
    <t>PlanetVac cyclone → MinION flow cell; automated loading</t>
  </si>
  <si>
    <t>BIO-003</t>
  </si>
  <si>
    <t>Soil Sampler</t>
  </si>
  <si>
    <t>STaPLE Leaf/Soil Extractor</t>
  </si>
  <si>
    <t>200×80×80</t>
  </si>
  <si>
    <t>400</t>
  </si>
  <si>
    <t>Mechanical leaf + soil grab; feeds PlanetVac stream</t>
  </si>
  <si>
    <t>BIO-004</t>
  </si>
  <si>
    <t>Pneumatic Hub</t>
  </si>
  <si>
    <t>PlanetVac Mini-Nozzle</t>
  </si>
  <si>
    <t>150×60×60</t>
  </si>
  <si>
    <t>280</t>
  </si>
  <si>
    <t>Pneumatic regolith lofting; cyclone separation stage</t>
  </si>
  <si>
    <t xml:space="preserve">  Subtotal — SECTION 2B · DEFERRED</t>
  </si>
  <si>
    <t>SECTION 3A · DEFERRED — PHASE 2 SENSORS &amp; SIMULATION</t>
  </si>
  <si>
    <t>RDR-AESA-001</t>
  </si>
  <si>
    <t>Air-Picture Radar</t>
  </si>
  <si>
    <t>AERIS-10 PLFM AESA Phased-Array (Open-Source)</t>
  </si>
  <si>
    <t>600×600×150</t>
  </si>
  <si>
    <t>18,000</t>
  </si>
  <si>
    <t>X-band PLFM AESA; 360° via rotating pedestal; ~2.5 km on 0.16 m² RCS; open-source firmware (PLFM_RADAR); 24V DC; RJ45 tactical feed</t>
  </si>
  <si>
    <t>1 · Space / Recon + Defense</t>
  </si>
  <si>
    <t>⏳ Phase 2 Upgrade</t>
  </si>
  <si>
    <t>https://github.com/NawfalMotii79/PLFM_RADAR</t>
  </si>
  <si>
    <t>RDR-IFF-001</t>
  </si>
  <si>
    <t>Friend-or-Foe Module</t>
  </si>
  <si>
    <t>Mode-S/ADS-B Transponder Correlator</t>
  </si>
  <si>
    <t>120×80×30</t>
  </si>
  <si>
    <t>1090 MHz Mode-S RX + ADS-B decode; cross-references Firefly/Alta X squawks vs AESA tracks; auto-tags friendlies on n8n air-picture map</t>
  </si>
  <si>
    <t>Required for dual-use; filters own swarm from hostile alerts</t>
  </si>
  <si>
    <t>CMP-RDR-001</t>
  </si>
  <si>
    <t>Radar Edge Compute</t>
  </si>
  <si>
    <t>NVIDIA Jetson Orin NX 16GB (Ground Station)</t>
  </si>
  <si>
    <t>70×45×25</t>
  </si>
  <si>
    <t>175</t>
  </si>
  <si>
    <t>100 TOPS; runs PLFM signal processing + RCS classifier (drone/bird/aircraft); MQTT push to n8n</t>
  </si>
  <si>
    <t>Sits in Sprinter Van rack; fuses AESA + IFF feeds</t>
  </si>
  <si>
    <t>SW-RDR-001</t>
  </si>
  <si>
    <t>Radar Firmware</t>
  </si>
  <si>
    <t>PLFM_RADAR (NawfalMotii79)</t>
  </si>
  <si>
    <t>Pulse Linear-Frequency-Modulated waveform gen; matched-filter receive; Doppler-tolerant; runs on CMP-RDR-001</t>
  </si>
  <si>
    <t>Software · Signal</t>
  </si>
  <si>
    <t>SW-SIM-001</t>
  </si>
  <si>
    <t>Sim Synthesis</t>
  </si>
  <si>
    <t>NVIDIA Cosmos-Drive-Dreams (nv-tlabs)</t>
  </si>
  <si>
    <t>Diffusion-based synthetic driving/aerial data generation; pre-trains Firefly/Alta X autopilot on photoreal Osage terrain before field ops</t>
  </si>
  <si>
    <t>Software · Cosmos World</t>
  </si>
  <si>
    <t>https://github.com/nv-tlabs/Cosmos-Drive-Dreams</t>
  </si>
  <si>
    <t xml:space="preserve">  Subtotal — SECTION 3A · DEFERRED</t>
  </si>
  <si>
    <t>SECTION 3B · DEFERRED — PHASE 3 SWARM / SEISMIC SCALE</t>
  </si>
  <si>
    <t>UAV-ASAD-001</t>
  </si>
  <si>
    <t>Swarm Platform</t>
  </si>
  <si>
    <t>ASAD v1.3.0 Quadrotor (Hex Cube Orange + Here 3)</t>
  </si>
  <si>
    <t>665×665×400</t>
  </si>
  <si>
    <t>5,500</t>
  </si>
  <si>
    <t>665mm wheelbase; ArduPilot; HEX Pixhawk 2.1 Cube Orange; HEX Here 3 RTK GNSS; LoRa + WiFi; quick-swap battery; IP42 dustproof</t>
  </si>
  <si>
    <t>Aramco 2025 arch; 20-unit swarm baseline for orphan-well grid</t>
  </si>
  <si>
    <t>SNS-ASAD-001</t>
  </si>
  <si>
    <t>Seismic Payload</t>
  </si>
  <si>
    <t>3× Triaxial MEMS Geophone Package + ODAM v2.0</t>
  </si>
  <si>
    <t>120×80×60</t>
  </si>
  <si>
    <t>X/Y/Z orthogonal geophones → 32-bit ADC (ODAM v2.0); sample rate 1 kHz; coupled to ground via SDS translational mechanism</t>
  </si>
  <si>
    <t>Per-drone payload; raw signal → BigQuery via LoRa</t>
  </si>
  <si>
    <t>SDS-ASAD-001</t>
  </si>
  <si>
    <t>Sensor Deployment</t>
  </si>
  <si>
    <t>Pneumatic Spike Driver SDS (CO₂-actuated) + Lasil T-37 Damper</t>
  </si>
  <si>
    <t>620</t>
  </si>
  <si>
    <t>Fires geophone spike via 100 PSI CO₂ burst from shared LUXFER-AL80 tank; solves Aramco hard-surface coupling failure; kickback &lt;50N on landing gear</t>
  </si>
  <si>
    <t>Decision 2 — resolves sandstone coupling; leverages BIO-004 pneumatic heritage</t>
  </si>
  <si>
    <t>SCS-001</t>
  </si>
  <si>
    <t>Swarm Control Station</t>
  </si>
  <si>
    <t>FPCS Laptop + Wi-Fi Router + LoRa SCS Node</t>
  </si>
  <si>
    <t>400×300×50</t>
  </si>
  <si>
    <t>4,500</t>
  </si>
  <si>
    <t>Windows laptop; tkinter-based FPCS; multi-thread TCP/IP; 200m Wi-Fi w/ amplifier+antenna; LoRa long-range failover</t>
  </si>
  <si>
    <t>Software · Ground Ops</t>
  </si>
  <si>
    <t>Centralized Master; runs Task Manager + Point Distributor + Path Planner</t>
  </si>
  <si>
    <t>HRM-001</t>
  </si>
  <si>
    <t>Hit Recording Module</t>
  </si>
  <si>
    <t>Source-Trigger HRM (Raspberry Pi + LoRa + GNSS)</t>
  </si>
  <si>
    <t>250×180×120</t>
  </si>
  <si>
    <t>800</t>
  </si>
  <si>
    <t>Raspberry Pi + LCD/buzzer; timestamps seismic source activation; LoRa sync to SCS</t>
  </si>
  <si>
    <t>Required IF using active source (sledge/vibrator); OPTIONAL for passive listening</t>
  </si>
  <si>
    <t>SW-FPCS-001</t>
  </si>
  <si>
    <t>Flight Planning SW</t>
  </si>
  <si>
    <t>FPCS (A* Path Planner + CHungSDA Point Distributor)</t>
  </si>
  <si>
    <t>A* for trajectory (0.56s gen time, 3.3m sep); Constrained Hungarian for point assignment; no path intersections by design</t>
  </si>
  <si>
    <t>Software · Swarm</t>
  </si>
  <si>
    <t>Ref: Aramco 2025; reimplement or license</t>
  </si>
  <si>
    <t>SRC-WD-001</t>
  </si>
  <si>
    <t>Active Seismic Source</t>
  </si>
  <si>
    <t>Drone-Deployable Weight-Drop Source (5 kg accelerated mass)</t>
  </si>
  <si>
    <t>400×400×600</t>
  </si>
  <si>
    <t>8,500</t>
  </si>
  <si>
    <t>Solenoid-released accelerated mass; Firefly-deployable; generates 15-120 Hz sweep for velocity model calibration; T0 timestamp via HRM</t>
  </si>
  <si>
    <t>2 · Physics / Source</t>
  </si>
  <si>
    <t>Decision 1 — Calibration trigger for first 2 hrs; then swarm switches to passive</t>
  </si>
  <si>
    <t>SRC-PASS-001</t>
  </si>
  <si>
    <t>Passive Monitoring Mode</t>
  </si>
  <si>
    <t>Arbuckle Hum Microseismic Listener (firmware)</t>
  </si>
  <si>
    <t>Firmware</t>
  </si>
  <si>
    <t>Post-calibration mode; listens for microseismic resonance of pressurized methane in karst; 24/7 continuous; velocity model locked from SRC-WD-001</t>
  </si>
  <si>
    <t>Software · Seismic</t>
  </si>
  <si>
    <t>Decision 1 — Replaces need for continuous active source</t>
  </si>
  <si>
    <t>NET-FLY-001</t>
  </si>
  <si>
    <t>Airborne Data Gateway</t>
  </si>
  <si>
    <t>Firefly WiFi-6E + CBRS Backhaul Payload</t>
  </si>
  <si>
    <t>180×120×80</t>
  </si>
  <si>
    <t>1,400</t>
  </si>
  <si>
    <t>Mounted on Firefly; 802.11ax 6 GHz band + CBRS Band 48; extends swarm Wi-Fi coverage cone; hovers above 20-drone cell at 80m AGL</t>
  </si>
  <si>
    <t>Platform · Comms</t>
  </si>
  <si>
    <t>Decision 3 — Solves Aramco 200m Wi-Fi bottleneck</t>
  </si>
  <si>
    <t>NET-SWM-001</t>
  </si>
  <si>
    <t>Swarm Mesh Radio</t>
  </si>
  <si>
    <t>Rajant Kinetic Mesh Node (per ASAD)</t>
  </si>
  <si>
    <t>90×60×30</t>
  </si>
  <si>
    <t>180</t>
  </si>
  <si>
    <t>Self-healing mesh node; drone-to-drone + drone-to-Firefly; 2.4/5 GHz dual-band; maintains connectivity if Firefly descends for refuel</t>
  </si>
  <si>
    <t>Redundancy layer if Firefly mothership drops out</t>
  </si>
  <si>
    <t>CMP-THOR-001</t>
  </si>
  <si>
    <t>Edge Brain (Upgrade)</t>
  </si>
  <si>
    <t>NVIDIA Jetson AGX Thor Developer Kit</t>
  </si>
  <si>
    <t>155×126×70</t>
  </si>
  <si>
    <t>1,600</t>
  </si>
  <si>
    <t>2070 TFLOPS FP4; Blackwell GPU; 128 GB coherent memory; replaces CMP-001 for Spark-to-Bit reflex loop; SPARK MAX CAN bus integration</t>
  </si>
  <si>
    <t>eBay listed @ $4,098 / Kemp IT Inc; Thor replaces Orin for swarm coordination</t>
  </si>
  <si>
    <t>CMP-GCS-001</t>
  </si>
  <si>
    <t>Ground Control Station</t>
  </si>
  <si>
    <t>UXV G2Nav Ruggedized Case GCS</t>
  </si>
  <si>
    <t>850×400×250</t>
  </si>
  <si>
    <t>22,000</t>
  </si>
  <si>
    <t>MIL-SPEC pelican; dual-screen; joystick + keyboard; integrated RF/video; replaces Windows laptop SCS-001 for field ops</t>
  </si>
  <si>
    <t>Replaces SCS-001 laptop for hardened field deployment</t>
  </si>
  <si>
    <t>ACU-001</t>
  </si>
  <si>
    <t>Acoustic Source</t>
  </si>
  <si>
    <t>Piezoelectric Impact Actuator (Custom)</t>
  </si>
  <si>
    <t>—</t>
  </si>
  <si>
    <t>350</t>
  </si>
  <si>
    <t>50–5,000 Hz seismic impulse; quartz resonance trigger</t>
  </si>
  <si>
    <t>2 · Physics</t>
  </si>
  <si>
    <t>ACU-002</t>
  </si>
  <si>
    <t>Acoustic Receiver</t>
  </si>
  <si>
    <t>MEMS Geophone Array (Triaxial)</t>
  </si>
  <si>
    <t>Ø35×25</t>
  </si>
  <si>
    <t>100</t>
  </si>
  <si>
    <t>±2g range; 24-bit ADC; sub-surface structure</t>
  </si>
  <si>
    <t xml:space="preserve">  Subtotal — SECTION 3B · DEFERRED</t>
  </si>
  <si>
    <t>NOTE · Removed as duplicates: UAV-ALT-001 (2nd Alta X "backup") and PWR-ALT-001 (2nd Tattu pack). Firefly UAV-FLY-001 retained but redundant with Doosan.</t>
  </si>
  <si>
    <t>🦅 AQUILA SOVEREIGN SYSTEM SUMMARY</t>
  </si>
  <si>
    <t>Firefly Gas-Hybrid Integration | Phase 1 Testing + Phase 2 Deployment</t>
  </si>
  <si>
    <t>Category</t>
  </si>
  <si>
    <t>Components</t>
  </si>
  <si>
    <t>Notes</t>
  </si>
  <si>
    <t>Jetson AGX Thor, Jetson Carrier Board</t>
  </si>
  <si>
    <t>Primary processing for real-time methane detection</t>
  </si>
  <si>
    <t>Power Systems</t>
  </si>
  <si>
    <t>Firefly 48V bus, Buck Converter (PWR-FLY-001), Alt: Tattu LiPo (PWR-ALT-001)</t>
  </si>
  <si>
    <t>Hybrid: Firefly primary, Alta X backup</t>
  </si>
  <si>
    <t>Sensing — Subsurface</t>
  </si>
  <si>
    <t>GPR (ground-penetrating radar), DrACO Vacuum Pump</t>
  </si>
  <si>
    <t>Orphan well detection + bore depth profiling</t>
  </si>
  <si>
    <t>Sensing — Chemical</t>
  </si>
  <si>
    <t>QCL Laser (methane), IR/PAS detectors, VOC sensor</t>
  </si>
  <si>
    <t>Multi-spectral emission analysis</t>
  </si>
  <si>
    <t>Sensing — Optics/Nav</t>
  </si>
  <si>
    <t>EO/IR camera, Photogrammetry cam, Stereo vision, RTK GPS</t>
  </si>
  <si>
    <t>Real-time situational awareness + position validation</t>
  </si>
  <si>
    <t>Bio-Intel Stack</t>
  </si>
  <si>
    <t>Oxford MinION (DNA sequencer), PlanetVac sampler, Cyclone separator, 58-cup carousel</t>
  </si>
  <si>
    <t>Triple-verified target protocol (GPR + QCL + DNA)</t>
  </si>
  <si>
    <t>Actuation (REV Robotics)</t>
  </si>
  <si>
    <t>UltraPlanetary gearbox (carousel), NEO 550 motor (winch), SPARK MAX controller</t>
  </si>
  <si>
    <t>Zero-backlash carousel indexing + PID winch control</t>
  </si>
  <si>
    <t>Thermal Protection</t>
  </si>
  <si>
    <t>Carbon fiber heat shield + reflective tape (THR-FLY-001)</t>
  </si>
  <si>
    <t>Protects N₂ sphere from engine block radiation (180°C)</t>
  </si>
  <si>
    <t>CNC rail clamps (MNT-FLY-001) — Alta X quick-release to Firefly rails</t>
  </si>
  <si>
    <t>Modular payload pod, works on both platforms</t>
  </si>
  <si>
    <t>UAV Platform — Primary</t>
  </si>
  <si>
    <t>Parallel Flight Firefly (gas-hybrid)</t>
  </si>
  <si>
    <t>✅ PRIMARY</t>
  </si>
  <si>
    <t>100 lb payload, 1.4 hr endurance, 15 km range</t>
  </si>
  <si>
    <t>UAV Platform — Backup</t>
  </si>
  <si>
    <t>Freefly Alta X (electric)</t>
  </si>
  <si>
    <t>✅ BACKUP (Phase 1)</t>
  </si>
  <si>
    <t>35 lb payload, 30 min endurance, low-vibration testing</t>
  </si>
  <si>
    <t>Payload Pod Assembly</t>
  </si>
  <si>
    <t>Copterlab dampener, goBILDA frame, QCL winch assembly</t>
  </si>
  <si>
    <t>3-zone vertical stacking for thermal/vibration isolation</t>
  </si>
  <si>
    <t>TOTAL BOM LINE ITEMS</t>
  </si>
  <si>
    <t>39 components (26 original + 12 Firefly additions + 1 system summary)</t>
  </si>
  <si>
    <t>DEPLOYMENT PHASES</t>
  </si>
  <si>
    <t>Phase 1: Alta X parking lot (Days 1–3) | Phase 2: Firefly field deployment (Days 4+)</t>
  </si>
  <si>
    <t>🧬  BIO-INTEL DNA IDENTIFICATION STACK — PlanetVac + STaPLE + MinION</t>
  </si>
  <si>
    <t>Triple-Verified Target Protocol  ·  Physical (GPR) + Chemical (QCL) + Biological (MinION)</t>
  </si>
  <si>
    <t>Component</t>
  </si>
  <si>
    <t>Role</t>
  </si>
  <si>
    <t>Interface</t>
  </si>
  <si>
    <t>Day 1 (SDG)</t>
  </si>
  <si>
    <t>Day 2 (RLVR)</t>
  </si>
  <si>
    <t>Day 3 (Validation)</t>
  </si>
  <si>
    <t>Straw — pneumatic regolith lofting</t>
  </si>
  <si>
    <t>Pneumatic</t>
  </si>
  <si>
    <t>Aerosolizes soil; feeds cyclone separator</t>
  </si>
  <si>
    <t>Loft 10 scenarios</t>
  </si>
  <si>
    <t>RLVR env setup</t>
  </si>
  <si>
    <t>Collect triple-ID samples</t>
  </si>
  <si>
    <t>STaPLE Extractor</t>
  </si>
  <si>
    <t>Hand — physical leaf &amp; soil grab</t>
  </si>
  <si>
    <t>Mechanical arm</t>
  </si>
  <si>
    <t>Ensures consistent sample mass; works with PlanetVac</t>
  </si>
  <si>
    <t>Sim STaPLE grab</t>
  </si>
  <si>
    <t>Agent trains grab→loft chain</t>
  </si>
  <si>
    <t>Physical anomaly confirmed</t>
  </si>
  <si>
    <t>Cyclone Separator (Custom)</t>
  </si>
  <si>
    <t>Airflow sorter</t>
  </si>
  <si>
    <t>Inline tubing</t>
  </si>
  <si>
    <t>Deposits fine microbes into buffer reservoir; keeps MinION clear</t>
  </si>
  <si>
    <t>Gen scenarios</t>
  </si>
  <si>
    <t>Train clog-avoidance</t>
  </si>
  <si>
    <t>Clean flow verified</t>
  </si>
  <si>
    <t>Micro-Peristaltic Pump</t>
  </si>
  <si>
    <t>Fluidic bridge</t>
  </si>
  <si>
    <t>I²C / GPIO</t>
  </si>
  <si>
    <t>Moves buffer+microbe slurry into MinION flow cell (automated)</t>
  </si>
  <si>
    <t>Sim fluid steps</t>
  </si>
  <si>
    <t>Reward: successful load</t>
  </si>
  <si>
    <t>Flow-cell load confirmed</t>
  </si>
  <si>
    <t>Brain — real-time DNA sequencing</t>
  </si>
  <si>
    <t>USB-C → Jetson</t>
  </si>
  <si>
    <t>Identifies Sb-resistant bacteria in &lt;15 min in the field</t>
  </si>
  <si>
    <t>Sim ion signals</t>
  </si>
  <si>
    <t>RLVR +100 if ID matches</t>
  </si>
  <si>
    <t>MinION confirms target DNA</t>
  </si>
  <si>
    <t>NVIDIA Jetson AGX Orin</t>
  </si>
  <si>
    <t>Dorado basecaller</t>
  </si>
  <si>
    <t>USB / PCIe</t>
  </si>
  <si>
    <t>Runs Oxford Dorado on Tensor Cores; variant calling + species ID</t>
  </si>
  <si>
    <t>Basecall test</t>
  </si>
  <si>
    <t>Integrated inference</t>
  </si>
  <si>
    <t>Species report generated</t>
  </si>
  <si>
    <t>⚙️  RLVR REWARD MATRIX — Aquila Decision Policy Training</t>
  </si>
  <si>
    <t>Verification Layer</t>
  </si>
  <si>
    <t>Sensor</t>
  </si>
  <si>
    <t>Trigger</t>
  </si>
  <si>
    <t>Reward</t>
  </si>
  <si>
    <t>Penalty</t>
  </si>
  <si>
    <t>FDR Target</t>
  </si>
  <si>
    <t>Physical</t>
  </si>
  <si>
    <t>Zond Aero LF GPR</t>
  </si>
  <si>
    <t>Hyperbola collapse (RTM)</t>
  </si>
  <si>
    <t>+ 50</t>
  </si>
  <si>
    <t>- 20</t>
  </si>
  <si>
    <t>&lt; 10%</t>
  </si>
  <si>
    <t>NVIDIA Warp RTM kernel on Jetson</t>
  </si>
  <si>
    <t>Chemical</t>
  </si>
  <si>
    <t>Hamamatsu QCL + C12880MA</t>
  </si>
  <si>
    <t>Spectral peak at 4.6 µm</t>
  </si>
  <si>
    <t>+ 75</t>
  </si>
  <si>
    <t>- 30</t>
  </si>
  <si>
    <t>Compared against ATRFT-IR / ST Japan DB</t>
  </si>
  <si>
    <t>Biological</t>
  </si>
  <si>
    <t>Oxford Nanopore MinION</t>
  </si>
  <si>
    <t>Sb-resistant bacteria DNA confirmed</t>
  </si>
  <si>
    <t>+ 100</t>
  </si>
  <si>
    <t>- 50</t>
  </si>
  <si>
    <t>&lt; 5%</t>
  </si>
  <si>
    <t>Oxford Dorado on Tensor Cores; &lt;15 min</t>
  </si>
  <si>
    <t>Triple-Verified</t>
  </si>
  <si>
    <t>All three layers</t>
  </si>
  <si>
    <t>All three triggers fire on same target</t>
  </si>
  <si>
    <t>+ 300 BONUS</t>
  </si>
  <si>
    <t>&lt; 2%</t>
  </si>
  <si>
    <t>Wilson Score CI required for board report</t>
  </si>
  <si>
    <t>False Alarm</t>
  </si>
  <si>
    <t>Any layer</t>
  </si>
  <si>
    <t>Trigger fires, subsequent layers deny</t>
  </si>
  <si>
    <t>- 100</t>
  </si>
  <si>
    <t>Drives FDR training convergence</t>
  </si>
  <si>
    <t>🏗️  AQUILA SOVEREIGN AI FACTORY — Claude Code Setup Checklist</t>
  </si>
  <si>
    <t>Step</t>
  </si>
  <si>
    <t>Phase</t>
  </si>
  <si>
    <t>Action</t>
  </si>
  <si>
    <t>Command / Detail</t>
  </si>
  <si>
    <t>1</t>
  </si>
  <si>
    <t>Install</t>
  </si>
  <si>
    <t>Install Claude Code CLI</t>
  </si>
  <si>
    <t>npm install -g @anthropic-ai/claude-code</t>
  </si>
  <si>
    <t>Windows / Mac</t>
  </si>
  <si>
    <t>⬜ TODO</t>
  </si>
  <si>
    <t>2</t>
  </si>
  <si>
    <t>Auth</t>
  </si>
  <si>
    <t>Authenticate Brev instance</t>
  </si>
  <si>
    <t>brev login → brev open &lt;H200_INSTANCE&gt;</t>
  </si>
  <si>
    <t>Cloud H200</t>
  </si>
  <si>
    <t>Local GPU</t>
  </si>
  <si>
    <t>Set UI-TARS device env</t>
  </si>
  <si>
    <t>set UITARS_DEVICE=cuda:0</t>
  </si>
  <si>
    <t>RTX 5070 Ti</t>
  </si>
  <si>
    <t>4</t>
  </si>
  <si>
    <t>Cosmos</t>
  </si>
  <si>
    <t>Clone nvidia-cosmos + PhysX SDK</t>
  </si>
  <si>
    <t>claude "Clone nvidia-cosmos to Brev, init OpenUSD"</t>
  </si>
  <si>
    <t>H200 (cloud)</t>
  </si>
  <si>
    <t>5</t>
  </si>
  <si>
    <t>ACE</t>
  </si>
  <si>
    <t>Initialize Audio2Face + Riva NIMs</t>
  </si>
  <si>
    <t>claude "Init Audio2Face, Riva NIMs on Brev"</t>
  </si>
  <si>
    <t>TiDAR</t>
  </si>
  <si>
    <t>Deploy TiDAR 8B via vLLM</t>
  </si>
  <si>
    <t>Pull TiDAR weights; launch vLLM server on H200</t>
  </si>
  <si>
    <t>7</t>
  </si>
  <si>
    <t>Tunnel</t>
  </si>
  <si>
    <t>SSH port-forward for local↔cloud</t>
  </si>
  <si>
    <t>ssh -L 8000:localhost:8000 &lt;BREV_HOST&gt;</t>
  </si>
  <si>
    <t>8</t>
  </si>
  <si>
    <t>Training</t>
  </si>
  <si>
    <t>Install Oumi + Unsloth on Brev</t>
  </si>
  <si>
    <t>pip install oumi unsloth</t>
  </si>
  <si>
    <t>9</t>
  </si>
  <si>
    <t>RLVR</t>
  </si>
  <si>
    <t>Run RLVR fine-tune job</t>
  </si>
  <si>
    <t>claude "Run oumi train -c tidar_mineralogy.yaml"</t>
  </si>
  <si>
    <t>Memory</t>
  </si>
  <si>
    <t>Enable Entire CLI context layer</t>
  </si>
  <si>
    <t>curl -fsSL https://entire.io/install.sh | bash &amp;&amp; entire enable</t>
  </si>
  <si>
    <t>Both</t>
  </si>
  <si>
    <t>11</t>
  </si>
  <si>
    <t>Validate</t>
  </si>
  <si>
    <t>Confirm FDR &lt; 10%</t>
  </si>
  <si>
    <t>Check Wilson Score CIs in board report</t>
  </si>
  <si>
    <t>DNA</t>
  </si>
  <si>
    <t>Connect MinION to Jetson USB-C</t>
  </si>
  <si>
    <t>MinION → USB-C → Jetson AGX Orin port</t>
  </si>
  <si>
    <t>Jetson (edge)</t>
  </si>
  <si>
    <t>13</t>
  </si>
  <si>
    <t>Basecall</t>
  </si>
  <si>
    <t>Install Oxford Dorado</t>
  </si>
  <si>
    <t>pip install dorado; run: dorado basecaller</t>
  </si>
  <si>
    <t>Part_Number</t>
  </si>
  <si>
    <t>Description</t>
  </si>
  <si>
    <t>Supplier</t>
  </si>
  <si>
    <t>Power_W</t>
  </si>
  <si>
    <t>Weight_g</t>
  </si>
  <si>
    <t>Cost_USD</t>
  </si>
  <si>
    <t>Integration_Notes</t>
  </si>
  <si>
    <t>PlanetVac Core Assembly</t>
  </si>
  <si>
    <t>HBR-PV-2026</t>
  </si>
  <si>
    <t>Gas jets + transfer tube system</t>
  </si>
  <si>
    <t>Honeybee Robotics</t>
  </si>
  <si>
    <t>Primary sample acquisition from regolith</t>
  </si>
  <si>
    <t>Compressed N2 Tank</t>
  </si>
  <si>
    <t>LUXFER-AL80</t>
  </si>
  <si>
    <t>80 cu ft aluminum, 3000 PSI</t>
  </si>
  <si>
    <t>Luxfer Gas Cylinders</t>
  </si>
  <si>
    <t>15 min operation, burst disk safety</t>
  </si>
  <si>
    <t>Pressure Regulator</t>
  </si>
  <si>
    <t>TESCOM-44-1300</t>
  </si>
  <si>
    <t>3000 PSI to 100 PSI regulation</t>
  </si>
  <si>
    <t>Tescom Corporation</t>
  </si>
  <si>
    <t>Precise pneumatic flow control</t>
  </si>
  <si>
    <t>Sample Transfer Tube</t>
  </si>
  <si>
    <t>HBR-PTT-50</t>
  </si>
  <si>
    <t>50cm length, 12mm ID tubing</t>
  </si>
  <si>
    <t>Routes samples to instruments</t>
  </si>
  <si>
    <t>Cyclone Separator</t>
  </si>
  <si>
    <t>HBR-CSS-1</t>
  </si>
  <si>
    <t>Particle/gas separation 99% eff</t>
  </si>
  <si>
    <t>Modified cyclone design</t>
  </si>
  <si>
    <t>Sample Cup Carousel</t>
  </si>
  <si>
    <t>HBR-SCC-8</t>
  </si>
  <si>
    <t>8-position rotating system</t>
  </si>
  <si>
    <t>Multiple sample collection</t>
  </si>
  <si>
    <t>Solenoid Control Valve</t>
  </si>
  <si>
    <t>PARKER-PRV-N2</t>
  </si>
  <si>
    <t>Gas flow on/off control</t>
  </si>
  <si>
    <t>Parker Hannifin</t>
  </si>
  <si>
    <t>Rapid valve response &lt;50ms</t>
  </si>
  <si>
    <t>Particle Size Sensor</t>
  </si>
  <si>
    <t>OMEGA-LD400</t>
  </si>
  <si>
    <t>Laser diffraction analyzer</t>
  </si>
  <si>
    <t>OMEGA Engineering</t>
  </si>
  <si>
    <t>Sample verification before analysis</t>
  </si>
  <si>
    <t>Vacuum Pump Titan</t>
  </si>
  <si>
    <t>PFEIFFER-MVP015</t>
  </si>
  <si>
    <t>Diaphragm pump for atmosphere</t>
  </si>
  <si>
    <t>Pfeiffer Vacuum</t>
  </si>
  <si>
    <t>Suction mode for Titan/Venus</t>
  </si>
  <si>
    <t>DrACO Drill Interface</t>
  </si>
  <si>
    <t>HBR-DRI-2034</t>
  </si>
  <si>
    <t>Drill-pneumatic integration</t>
  </si>
  <si>
    <t>Subsurface sample acquisition</t>
  </si>
  <si>
    <t>SYSTEM TOTALS:</t>
  </si>
  <si>
    <t>TECHNICAL NOTES:</t>
  </si>
  <si>
    <t>• Based on Honeybee Robotics PlanetVac technology (NASA LSITP program)</t>
  </si>
  <si>
    <t>• Pneumatic approach works in vacuum (Moon/asteroids) and atmosphere (Titan/Venus)</t>
  </si>
  <si>
    <t>• Gas efficiency: 1g N2 transfers ~6000g lunar regolith (1/6g testing)</t>
  </si>
  <si>
    <t>• Sample bias: Favors fine particles (&lt;1mm) for spectrometer compatibility</t>
  </si>
  <si>
    <t>• Integration: Connects to Hamamatsu spectrometer via sample cups</t>
  </si>
  <si>
    <t>• Backup mode: Vacuum pump enables suction on atmospheric bodies</t>
  </si>
  <si>
    <t>Parameter</t>
  </si>
  <si>
    <t>Value</t>
  </si>
  <si>
    <t>Source</t>
  </si>
  <si>
    <t>Target Latitude</t>
  </si>
  <si>
    <t>18.5608 N</t>
  </si>
  <si>
    <t>Primary mission coordinates</t>
  </si>
  <si>
    <t>Google Earth</t>
  </si>
  <si>
    <t>Target Longitude</t>
  </si>
  <si>
    <t>69.9953 W</t>
  </si>
  <si>
    <t>Elevation</t>
  </si>
  <si>
    <t>450m ASL</t>
  </si>
  <si>
    <t>Operating altitude above sea level</t>
  </si>
  <si>
    <t>SRTM Data</t>
  </si>
  <si>
    <t>Site Name</t>
  </si>
  <si>
    <t>Pueblo Viejo Mining District</t>
  </si>
  <si>
    <t>Dominican Republic gold mine</t>
  </si>
  <si>
    <t>Barrick Gold</t>
  </si>
  <si>
    <t>Zoom Level</t>
  </si>
  <si>
    <t>32047</t>
  </si>
  <si>
    <t>Google Earth zoom for simulation</t>
  </si>
  <si>
    <t>GE Link</t>
  </si>
  <si>
    <t>UTM Zone</t>
  </si>
  <si>
    <t>19N</t>
  </si>
  <si>
    <t>Universal Transverse Mercator</t>
  </si>
  <si>
    <t>WGS84</t>
  </si>
  <si>
    <t>Flight Ceiling</t>
  </si>
  <si>
    <t>500m AGL</t>
  </si>
  <si>
    <t>Maximum operating altitude</t>
  </si>
  <si>
    <t>CAA Regulations</t>
  </si>
  <si>
    <t>Sample Grid</t>
  </si>
  <si>
    <t>2km x 2km</t>
  </si>
  <si>
    <t>Survey area coverage</t>
  </si>
  <si>
    <t>Mission Planning</t>
  </si>
  <si>
    <t>Wind Patterns</t>
  </si>
  <si>
    <t>NE Trade Winds 15-25 kts</t>
  </si>
  <si>
    <t>Seasonal wind data</t>
  </si>
  <si>
    <t>NOAA</t>
  </si>
  <si>
    <t>Terrain Type</t>
  </si>
  <si>
    <t>Limestone karst, open pit</t>
  </si>
  <si>
    <t>Geological classification</t>
  </si>
  <si>
    <t>USGS</t>
  </si>
  <si>
    <t>Known Minerals</t>
  </si>
  <si>
    <t>Au, Ag, Cu sulfides</t>
  </si>
  <si>
    <t>Target mineral assemblage</t>
  </si>
  <si>
    <t>Core Samples</t>
  </si>
  <si>
    <t>Ground Truth</t>
  </si>
  <si>
    <t>95% validation available</t>
  </si>
  <si>
    <t>Existing analytical data</t>
  </si>
  <si>
    <t>Lab Reports</t>
  </si>
  <si>
    <t>Access Road</t>
  </si>
  <si>
    <t>Highway 1 + 15km dirt</t>
  </si>
  <si>
    <t>Logistics planning</t>
  </si>
  <si>
    <t>Site Survey</t>
  </si>
  <si>
    <t>Nearest Hospital</t>
  </si>
  <si>
    <t>Santiago 45km</t>
  </si>
  <si>
    <t>Emergency planning</t>
  </si>
  <si>
    <t>Safety Protocol</t>
  </si>
  <si>
    <t>Comms Coverage</t>
  </si>
  <si>
    <t>Claro 4G LTE</t>
  </si>
  <si>
    <t>Data transmission capability</t>
  </si>
  <si>
    <t>Field Test</t>
  </si>
  <si>
    <t>NASA EMIT INTEGRATION:</t>
  </si>
  <si>
    <t>EMIT Scene ID</t>
  </si>
  <si>
    <t>EMIT_L2A_RFL_001</t>
  </si>
  <si>
    <t>Hyperspectral scene identifier</t>
  </si>
  <si>
    <t>NASA JPL</t>
  </si>
  <si>
    <t>Spectral Bands</t>
  </si>
  <si>
    <t>285 bands 380-2500nm</t>
  </si>
  <si>
    <t>Full hyperspectral coverage</t>
  </si>
  <si>
    <t>EMIT Specs</t>
  </si>
  <si>
    <t>Ground Resolution</t>
  </si>
  <si>
    <t>60m/pixel</t>
  </si>
  <si>
    <t>Native EMIT pixel size</t>
  </si>
  <si>
    <t>L2A Product</t>
  </si>
  <si>
    <t>Overpass Time</t>
  </si>
  <si>
    <t>13:45 UTC daily</t>
  </si>
  <si>
    <t>ISS orbital timing</t>
  </si>
  <si>
    <t>Flight Track</t>
  </si>
  <si>
    <t>Data Latency</t>
  </si>
  <si>
    <t>&lt;24 hours</t>
  </si>
  <si>
    <t>Processing to delivery time</t>
  </si>
  <si>
    <t>NASA EarthData</t>
  </si>
  <si>
    <t>NVIDIA COSMOS SIMULATION:</t>
  </si>
  <si>
    <t>World Bounds</t>
  </si>
  <si>
    <t>±1km from target coords</t>
  </si>
  <si>
    <t>Simulation environment size</t>
  </si>
  <si>
    <t>NuRec</t>
  </si>
  <si>
    <t>Terrain Model</t>
  </si>
  <si>
    <t>Real DEM + Gaussian Splats</t>
  </si>
  <si>
    <t>Hybrid reconstruction method</t>
  </si>
  <si>
    <t>USD Stage</t>
  </si>
  <si>
    <t>Weather Model</t>
  </si>
  <si>
    <t>DR tropical patterns</t>
  </si>
  <si>
    <t>Seasonal precipitation/wind</t>
  </si>
  <si>
    <t>Climate Data</t>
  </si>
  <si>
    <t>Mineral Distribution</t>
  </si>
  <si>
    <t>Kriging interpolation</t>
  </si>
  <si>
    <t>Spatial mineral modeling</t>
  </si>
  <si>
    <t>Geostatistics</t>
  </si>
  <si>
    <t>PlanetVac Testing</t>
  </si>
  <si>
    <t>1000 acquisition cycles</t>
  </si>
  <si>
    <t>Pneumatic system validation</t>
  </si>
  <si>
    <t>DrACO Logic</t>
  </si>
  <si>
    <t>Component_Type</t>
  </si>
  <si>
    <t>NASARAP_Section</t>
  </si>
  <si>
    <t>Specification</t>
  </si>
  <si>
    <t>Tolerance</t>
  </si>
  <si>
    <t>Safety_Factor</t>
  </si>
  <si>
    <t>Validation_Status</t>
  </si>
  <si>
    <t>Fasteners - Socket Head Cap</t>
  </si>
  <si>
    <t>Section 2.3.1</t>
  </si>
  <si>
    <t>#10-32 Black Oxide</t>
  </si>
  <si>
    <t>±0.001 inch</t>
  </si>
  <si>
    <t>2.0x</t>
  </si>
  <si>
    <t>✅ NASA Verified</t>
  </si>
  <si>
    <t>Fasteners - Metric Motors</t>
  </si>
  <si>
    <t>Section 2.3.2</t>
  </si>
  <si>
    <t>M4 Blue Tint (775pro)</t>
  </si>
  <si>
    <t>±0.05mm</t>
  </si>
  <si>
    <t>2.5x</t>
  </si>
  <si>
    <t>3D Printed Nozzle</t>
  </si>
  <si>
    <t>Section 3.6</t>
  </si>
  <si>
    <t>PETG ±0.1mm precision</t>
  </si>
  <si>
    <t>±0.05mm shrinkage</t>
  </si>
  <si>
    <t>1.5x</t>
  </si>
  <si>
    <t>Power Transmission Shaft</t>
  </si>
  <si>
    <t>Section 4.1</t>
  </si>
  <si>
    <t>5mm hex 7075-T6</t>
  </si>
  <si>
    <t>±0.0005 inch</t>
  </si>
  <si>
    <t>Bearing Interfaces</t>
  </si>
  <si>
    <t>Section 4.3.1</t>
  </si>
  <si>
    <t>Radial ball bearing 6mm</t>
  </si>
  <si>
    <t>Reamed ±0.0005</t>
  </si>
  <si>
    <t>3.0x</t>
  </si>
  <si>
    <t>Lock Nuts</t>
  </si>
  <si>
    <t>Section 2.3.3</t>
  </si>
  <si>
    <t>Nylon insert anti-vibration</t>
  </si>
  <si>
    <t>Hand tight +1/4 turn</t>
  </si>
  <si>
    <t>Sheet Metal Brackets</t>
  </si>
  <si>
    <t>Section 3.4</t>
  </si>
  <si>
    <t>CNC brake formed</t>
  </si>
  <si>
    <t>±0.005 inch</t>
  </si>
  <si>
    <t>Pneumatic Tubing</t>
  </si>
  <si>
    <t>Section 4.7</t>
  </si>
  <si>
    <t>12mm ID aluminum</t>
  </si>
  <si>
    <t>400 PSI burst pressure</t>
  </si>
  <si>
    <t>4.0x</t>
  </si>
  <si>
    <t>Sample Carousel Hub</t>
  </si>
  <si>
    <t>Section 4.5.2</t>
  </si>
  <si>
    <t>Shoulder bolt precision</t>
  </si>
  <si>
    <t>±0.0005 inch diameter</t>
  </si>
  <si>
    <t>Heat Set Inserts</t>
  </si>
  <si>
    <t>Section 2.3.8</t>
  </si>
  <si>
    <t>M3 brass threaded</t>
  </si>
  <si>
    <t>2.5x insert diameter wall</t>
  </si>
  <si>
    <t>DR. WHITE SUTHERLAND MANUFACTURING LOGIC:</t>
  </si>
  <si>
    <t>• Fastener Decision: Cannot exceed NASARAP Section 4.1 torque limits for 5mm hex shaft</t>
  </si>
  <si>
    <t>• Weight Optimization: Apply Section 3.7 isogrid pattern for 14% mass reduction</t>
  </si>
  <si>
    <t>• Tolerance Stack: Compensate PETG shrinkage per Section 3.6 manufacturing guidelines</t>
  </si>
  <si>
    <t>• Safety Verification: All critical components meet 2.0x minimum safety factor</t>
  </si>
  <si>
    <t>• Field Repair: Color-coded fastener system enables rapid pit maintenance</t>
  </si>
  <si>
    <t>NASARAP COMPLIANCE COST:</t>
  </si>
  <si>
    <t>Space-Grade Fasteners</t>
  </si>
  <si>
    <t>,400</t>
  </si>
  <si>
    <t>Precision Manufacturing</t>
  </si>
  <si>
    <t>,500</t>
  </si>
  <si>
    <t>NASA Documentation</t>
  </si>
  <si>
    <t>,200</t>
  </si>
  <si>
    <t>Safety Factor Testing</t>
  </si>
  <si>
    <t>,100</t>
  </si>
  <si>
    <t>TOTAL NASARAP PREMIUM</t>
  </si>
  <si>
    <t>5,200</t>
  </si>
  <si>
    <t>Firefly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</si>
</sst>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b/>
      <sz val="12"/>
      <color rgb="FF1E6B3A"/>
      <name val="Arial"/>
      <charset val="1"/>
    </font>
    <font>
      <b/>
      <sz val="12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8"/>
      <name val="Arial"/>
      <charset val="1"/>
    </font>
    <font>
      <sz val="8"/>
      <color rgb="FF0563C1"/>
      <name val="Arial"/>
      <charset val="1"/>
    </font>
    <font>
      <b/>
      <i/>
      <sz val="11"/>
      <name val="Arial"/>
      <charset val="1"/>
    </font>
    <font>
      <b/>
      <sz val="16"/>
      <name val="Cambria"/>
      <charset val="1"/>
    </font>
    <font>
      <i/>
      <sz val="11"/>
      <name val="Cambria"/>
      <charset val="1"/>
    </font>
    <font>
      <b/>
      <sz val="15"/>
      <color theme="3"/>
      <name val="Calibri"/>
      <family val="2"/>
      <charset val="1"/>
    </font>
    <font>
      <b/>
      <sz val="11"/>
      <name val="Cambria"/>
      <charset val="1"/>
    </font>
    <font>
      <sz val="10"/>
      <name val="Cambria"/>
      <charset val="1"/>
    </font>
    <font>
      <b/>
      <sz val="13"/>
      <color rgb="FFFFFFFF"/>
      <name val="Arial"/>
      <family val="2"/>
      <charset val="1"/>
    </font>
    <font>
      <i/>
      <sz val="9"/>
      <color rgb="FFAAAAAA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1B2631"/>
      <name val="Arial"/>
      <family val="2"/>
      <charset val="1"/>
    </font>
    <font>
      <sz val="9"/>
      <color rgb="FF1B2631"/>
      <name val="Arial"/>
      <family val="2"/>
      <charset val="1"/>
    </font>
    <font>
      <i/>
      <sz val="9"/>
      <color rgb="FF1B2631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145A32"/>
      <name val="Arial"/>
      <family val="2"/>
      <charset val="1"/>
    </font>
    <font>
      <b/>
      <sz val="9"/>
      <color rgb="FF922B21"/>
      <name val="Arial"/>
      <family val="2"/>
      <charset val="1"/>
    </font>
    <font>
      <sz val="8"/>
      <color rgb="FF1A237E"/>
      <name val="Courier New"/>
      <family val="3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1"/>
      <color rgb="FF008000"/>
      <name val="Calibri"/>
      <charset val="1"/>
    </font>
    <font>
      <b/>
      <sz val="14"/>
      <name val="Calibri"/>
      <charset val="1"/>
    </font>
  </fonts>
  <fills count="30">
    <fill>
      <patternFill patternType="none"/>
    </fill>
    <fill>
      <patternFill patternType="gray125"/>
    </fill>
    <fill>
      <patternFill patternType="solid">
        <fgColor rgb="FF0F2233"/>
        <bgColor rgb="FF1B2631"/>
      </patternFill>
    </fill>
    <fill>
      <patternFill patternType="solid">
        <fgColor rgb="FF1E6B3A"/>
        <bgColor rgb="FF145A32"/>
      </patternFill>
    </fill>
    <fill>
      <patternFill patternType="solid">
        <fgColor rgb="FF1F3A4D"/>
        <bgColor rgb="FF154360"/>
      </patternFill>
    </fill>
    <fill>
      <patternFill patternType="solid">
        <fgColor rgb="FFE8E8E8"/>
        <bgColor rgb="FFF4ECF7"/>
      </patternFill>
    </fill>
    <fill>
      <patternFill patternType="solid">
        <fgColor rgb="FF8A5A00"/>
        <bgColor rgb="FF922B21"/>
      </patternFill>
    </fill>
    <fill>
      <patternFill patternType="solid">
        <fgColor rgb="FF6A2E7A"/>
        <bgColor rgb="FF6C3483"/>
      </patternFill>
    </fill>
    <fill>
      <patternFill patternType="solid">
        <fgColor rgb="FF34506B"/>
        <bgColor rgb="FF1F4E79"/>
      </patternFill>
    </fill>
    <fill>
      <patternFill patternType="solid">
        <fgColor rgb="FF4A4A4A"/>
        <bgColor rgb="FF34506B"/>
      </patternFill>
    </fill>
    <fill>
      <patternFill patternType="solid">
        <fgColor rgb="FFD3D1C7"/>
        <bgColor rgb="FFD0D0D0"/>
      </patternFill>
    </fill>
    <fill>
      <patternFill patternType="solid">
        <fgColor rgb="FFC6EFCE"/>
        <bgColor rgb="FFD1F2EB"/>
      </patternFill>
    </fill>
    <fill>
      <patternFill patternType="solid">
        <fgColor rgb="FFFFE699"/>
        <bgColor rgb="FFFDEDEC"/>
      </patternFill>
    </fill>
    <fill>
      <patternFill patternType="solid">
        <fgColor rgb="FF145A32"/>
        <bgColor rgb="FF1E6B3A"/>
      </patternFill>
    </fill>
    <fill>
      <patternFill patternType="solid">
        <fgColor rgb="FF1D8348"/>
        <bgColor rgb="FF1E6B3A"/>
      </patternFill>
    </fill>
    <fill>
      <patternFill patternType="solid">
        <fgColor rgb="FFD1F2EB"/>
        <bgColor rgb="FFD5F5E3"/>
      </patternFill>
    </fill>
    <fill>
      <patternFill patternType="solid">
        <fgColor rgb="FFEAFAF1"/>
        <bgColor rgb="FFEBF5FB"/>
      </patternFill>
    </fill>
    <fill>
      <patternFill patternType="solid">
        <fgColor rgb="FF154360"/>
        <bgColor rgb="FF1F3A4D"/>
      </patternFill>
    </fill>
    <fill>
      <patternFill patternType="solid">
        <fgColor rgb="FF1A5276"/>
        <bgColor rgb="FF1F4E79"/>
      </patternFill>
    </fill>
    <fill>
      <patternFill patternType="solid">
        <fgColor rgb="FFD6EAF8"/>
        <bgColor rgb="FFD1F2EB"/>
      </patternFill>
    </fill>
    <fill>
      <patternFill patternType="solid">
        <fgColor rgb="FFEBF5FB"/>
        <bgColor rgb="FFE6F3FF"/>
      </patternFill>
    </fill>
    <fill>
      <patternFill patternType="solid">
        <fgColor rgb="FFD5F5E3"/>
        <bgColor rgb="FFD1F2EB"/>
      </patternFill>
    </fill>
    <fill>
      <patternFill patternType="solid">
        <fgColor rgb="FFFDEDEC"/>
        <bgColor rgb="FFF4ECF7"/>
      </patternFill>
    </fill>
    <fill>
      <patternFill patternType="solid">
        <fgColor rgb="FF4A235A"/>
        <bgColor rgb="FF6A2E7A"/>
      </patternFill>
    </fill>
    <fill>
      <patternFill patternType="solid">
        <fgColor rgb="FF6C3483"/>
        <bgColor rgb="FF6A2E7A"/>
      </patternFill>
    </fill>
    <fill>
      <patternFill patternType="solid">
        <fgColor rgb="FFF4ECF7"/>
        <bgColor rgb="FFFDEDEC"/>
      </patternFill>
    </fill>
    <fill>
      <patternFill patternType="solid">
        <fgColor rgb="FFFDFEFE"/>
        <bgColor rgb="FFFFFFFF"/>
      </patternFill>
    </fill>
    <fill>
      <patternFill patternType="solid">
        <fgColor theme="4" tint="0.59978026673177287"/>
        <bgColor rgb="FFD0D0D0"/>
      </patternFill>
    </fill>
    <fill>
      <patternFill patternType="solid">
        <fgColor rgb="FFE6F3FF"/>
        <bgColor rgb="FFEBF5FB"/>
      </patternFill>
    </fill>
    <fill>
      <patternFill patternType="solid">
        <fgColor rgb="FF1F4E79"/>
        <bgColor rgb="FF1F497D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5" fillId="0" borderId="1"/>
  </cellStyleXfs>
  <cellXfs count="80">
    <xf numFmtId="0" fontId="0" fillId="0" borderId="0" xfId="0"/>
    <xf numFmtId="0" fontId="3" fillId="0" borderId="0" xfId="0" applyFont="1"/>
    <xf numFmtId="164" fontId="4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64" fontId="8" fillId="0" borderId="2" xfId="0" applyNumberFormat="1" applyFont="1" applyBorder="1" applyAlignment="1">
      <alignment vertical="center" wrapText="1"/>
    </xf>
    <xf numFmtId="164" fontId="9" fillId="0" borderId="2" xfId="0" applyNumberFormat="1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0" xfId="0" applyFont="1"/>
    <xf numFmtId="164" fontId="3" fillId="5" borderId="0" xfId="0" applyNumberFormat="1" applyFont="1" applyFill="1"/>
    <xf numFmtId="0" fontId="13" fillId="0" borderId="3" xfId="0" applyFont="1" applyBorder="1" applyAlignment="1">
      <alignment horizontal="center" vertical="center" wrapText="1"/>
    </xf>
    <xf numFmtId="0" fontId="0" fillId="0" borderId="3" xfId="0" applyBorder="1"/>
    <xf numFmtId="0" fontId="14" fillId="0" borderId="3" xfId="0" applyFont="1" applyBorder="1" applyAlignment="1">
      <alignment horizontal="left" vertical="center" wrapText="1"/>
    </xf>
    <xf numFmtId="0" fontId="15" fillId="10" borderId="3" xfId="1" applyFill="1" applyBorder="1" applyAlignment="1">
      <alignment horizontal="left" vertical="center" wrapText="1"/>
    </xf>
    <xf numFmtId="0" fontId="15" fillId="0" borderId="3" xfId="1" applyBorder="1" applyAlignment="1">
      <alignment horizontal="left" vertical="top" wrapText="1"/>
    </xf>
    <xf numFmtId="0" fontId="15" fillId="11" borderId="3" xfId="1" applyFill="1" applyBorder="1" applyAlignment="1">
      <alignment horizontal="left" vertical="top" wrapText="1"/>
    </xf>
    <xf numFmtId="0" fontId="15" fillId="12" borderId="3" xfId="1" applyFill="1" applyBorder="1" applyAlignment="1">
      <alignment horizontal="left" vertical="top" wrapText="1"/>
    </xf>
    <xf numFmtId="0" fontId="16" fillId="0" borderId="3" xfId="0" applyFont="1" applyBorder="1"/>
    <xf numFmtId="0" fontId="17" fillId="0" borderId="3" xfId="0" applyFont="1" applyBorder="1"/>
    <xf numFmtId="0" fontId="20" fillId="14" borderId="4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left" vertical="center" wrapText="1"/>
    </xf>
    <xf numFmtId="0" fontId="22" fillId="15" borderId="4" xfId="0" applyFont="1" applyFill="1" applyBorder="1" applyAlignment="1">
      <alignment horizontal="left" vertical="center" wrapText="1"/>
    </xf>
    <xf numFmtId="0" fontId="23" fillId="15" borderId="4" xfId="0" applyFont="1" applyFill="1" applyBorder="1" applyAlignment="1">
      <alignment horizontal="left" vertical="center" wrapText="1"/>
    </xf>
    <xf numFmtId="0" fontId="21" fillId="16" borderId="4" xfId="0" applyFont="1" applyFill="1" applyBorder="1" applyAlignment="1">
      <alignment horizontal="left" vertical="center" wrapText="1"/>
    </xf>
    <xf numFmtId="0" fontId="22" fillId="16" borderId="4" xfId="0" applyFont="1" applyFill="1" applyBorder="1" applyAlignment="1">
      <alignment horizontal="left" vertical="center" wrapText="1"/>
    </xf>
    <xf numFmtId="0" fontId="23" fillId="16" borderId="4" xfId="0" applyFont="1" applyFill="1" applyBorder="1" applyAlignment="1">
      <alignment horizontal="left" vertical="center" wrapText="1"/>
    </xf>
    <xf numFmtId="0" fontId="20" fillId="18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left" vertical="center" wrapText="1"/>
    </xf>
    <xf numFmtId="0" fontId="25" fillId="19" borderId="4" xfId="0" applyFont="1" applyFill="1" applyBorder="1" applyAlignment="1">
      <alignment horizontal="left" vertical="center" wrapText="1"/>
    </xf>
    <xf numFmtId="0" fontId="26" fillId="19" borderId="4" xfId="0" applyFont="1" applyFill="1" applyBorder="1" applyAlignment="1">
      <alignment horizontal="center" vertical="center" wrapText="1"/>
    </xf>
    <xf numFmtId="0" fontId="27" fillId="19" borderId="4" xfId="0" applyFont="1" applyFill="1" applyBorder="1" applyAlignment="1">
      <alignment horizontal="center" vertical="center" wrapText="1"/>
    </xf>
    <xf numFmtId="0" fontId="25" fillId="19" borderId="4" xfId="0" applyFont="1" applyFill="1" applyBorder="1" applyAlignment="1">
      <alignment horizontal="center" vertical="center" wrapText="1"/>
    </xf>
    <xf numFmtId="0" fontId="24" fillId="20" borderId="4" xfId="0" applyFont="1" applyFill="1" applyBorder="1" applyAlignment="1">
      <alignment horizontal="left" vertical="center" wrapText="1"/>
    </xf>
    <xf numFmtId="0" fontId="25" fillId="20" borderId="4" xfId="0" applyFont="1" applyFill="1" applyBorder="1" applyAlignment="1">
      <alignment horizontal="left" vertical="center" wrapText="1"/>
    </xf>
    <xf numFmtId="0" fontId="26" fillId="20" borderId="4" xfId="0" applyFont="1" applyFill="1" applyBorder="1" applyAlignment="1">
      <alignment horizontal="center" vertical="center" wrapText="1"/>
    </xf>
    <xf numFmtId="0" fontId="27" fillId="20" borderId="4" xfId="0" applyFont="1" applyFill="1" applyBorder="1" applyAlignment="1">
      <alignment horizontal="center" vertical="center" wrapText="1"/>
    </xf>
    <xf numFmtId="0" fontId="25" fillId="20" borderId="4" xfId="0" applyFont="1" applyFill="1" applyBorder="1" applyAlignment="1">
      <alignment horizontal="center" vertical="center" wrapText="1"/>
    </xf>
    <xf numFmtId="0" fontId="24" fillId="21" borderId="4" xfId="0" applyFont="1" applyFill="1" applyBorder="1" applyAlignment="1">
      <alignment horizontal="left" vertical="center" wrapText="1"/>
    </xf>
    <xf numFmtId="0" fontId="25" fillId="21" borderId="4" xfId="0" applyFont="1" applyFill="1" applyBorder="1" applyAlignment="1">
      <alignment horizontal="left" vertical="center" wrapText="1"/>
    </xf>
    <xf numFmtId="0" fontId="26" fillId="21" borderId="4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>
      <alignment horizontal="center" vertical="center" wrapText="1"/>
    </xf>
    <xf numFmtId="0" fontId="25" fillId="21" borderId="4" xfId="0" applyFont="1" applyFill="1" applyBorder="1" applyAlignment="1">
      <alignment horizontal="center" vertical="center" wrapText="1"/>
    </xf>
    <xf numFmtId="0" fontId="24" fillId="22" borderId="4" xfId="0" applyFont="1" applyFill="1" applyBorder="1" applyAlignment="1">
      <alignment horizontal="left" vertical="center" wrapText="1"/>
    </xf>
    <xf numFmtId="0" fontId="25" fillId="22" borderId="4" xfId="0" applyFont="1" applyFill="1" applyBorder="1" applyAlignment="1">
      <alignment horizontal="left" vertical="center" wrapText="1"/>
    </xf>
    <xf numFmtId="0" fontId="26" fillId="22" borderId="4" xfId="0" applyFont="1" applyFill="1" applyBorder="1" applyAlignment="1">
      <alignment horizontal="center" vertical="center" wrapText="1"/>
    </xf>
    <xf numFmtId="0" fontId="27" fillId="22" borderId="4" xfId="0" applyFont="1" applyFill="1" applyBorder="1" applyAlignment="1">
      <alignment horizontal="center" vertical="center" wrapText="1"/>
    </xf>
    <xf numFmtId="0" fontId="25" fillId="22" borderId="4" xfId="0" applyFont="1" applyFill="1" applyBorder="1" applyAlignment="1">
      <alignment horizontal="center" vertical="center" wrapText="1"/>
    </xf>
    <xf numFmtId="0" fontId="20" fillId="24" borderId="4" xfId="0" applyFont="1" applyFill="1" applyBorder="1" applyAlignment="1">
      <alignment horizontal="center" vertical="center"/>
    </xf>
    <xf numFmtId="0" fontId="24" fillId="25" borderId="4" xfId="0" applyFont="1" applyFill="1" applyBorder="1" applyAlignment="1">
      <alignment horizontal="left" vertical="center" wrapText="1"/>
    </xf>
    <xf numFmtId="0" fontId="25" fillId="25" borderId="4" xfId="0" applyFont="1" applyFill="1" applyBorder="1" applyAlignment="1">
      <alignment horizontal="left" vertical="center" wrapText="1"/>
    </xf>
    <xf numFmtId="0" fontId="28" fillId="25" borderId="4" xfId="0" applyFont="1" applyFill="1" applyBorder="1" applyAlignment="1">
      <alignment horizontal="left" vertical="center" wrapText="1"/>
    </xf>
    <xf numFmtId="0" fontId="24" fillId="26" borderId="4" xfId="0" applyFont="1" applyFill="1" applyBorder="1" applyAlignment="1">
      <alignment horizontal="left" vertical="center" wrapText="1"/>
    </xf>
    <xf numFmtId="0" fontId="25" fillId="26" borderId="4" xfId="0" applyFont="1" applyFill="1" applyBorder="1" applyAlignment="1">
      <alignment horizontal="left" vertical="center" wrapText="1"/>
    </xf>
    <xf numFmtId="0" fontId="28" fillId="26" borderId="4" xfId="0" applyFont="1" applyFill="1" applyBorder="1" applyAlignment="1">
      <alignment horizontal="left" vertical="center" wrapText="1"/>
    </xf>
    <xf numFmtId="0" fontId="15" fillId="27" borderId="3" xfId="0" applyFont="1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3" xfId="0" applyFill="1" applyBorder="1"/>
    <xf numFmtId="0" fontId="29" fillId="0" borderId="0" xfId="0" applyFont="1"/>
    <xf numFmtId="0" fontId="29" fillId="28" borderId="3" xfId="0" applyFont="1" applyFill="1" applyBorder="1"/>
    <xf numFmtId="0" fontId="29" fillId="0" borderId="3" xfId="0" applyFont="1" applyBorder="1"/>
    <xf numFmtId="0" fontId="30" fillId="29" borderId="0" xfId="0" applyFont="1" applyFill="1"/>
    <xf numFmtId="0" fontId="31" fillId="0" borderId="0" xfId="0" applyFont="1"/>
    <xf numFmtId="0" fontId="32" fillId="0" borderId="0" xfId="0" applyFont="1"/>
    <xf numFmtId="0" fontId="6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8" fillId="13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/>
    </xf>
    <xf numFmtId="0" fontId="18" fillId="17" borderId="0" xfId="0" applyFont="1" applyFill="1" applyAlignment="1">
      <alignment horizontal="center" vertical="center"/>
    </xf>
    <xf numFmtId="0" fontId="18" fillId="23" borderId="0" xfId="0" applyFont="1" applyFill="1" applyAlignment="1">
      <alignment horizontal="center" vertical="center"/>
    </xf>
    <xf numFmtId="0" fontId="0" fillId="0" borderId="0" xfId="0"/>
  </cellXfs>
  <cellStyles count="2">
    <cellStyle name="Excel Built-in Heading 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DEC"/>
      <rgbColor rgb="FFFF00FF"/>
      <rgbColor rgb="FF00FFFF"/>
      <rgbColor rgb="FF145A32"/>
      <rgbColor rgb="FF008000"/>
      <rgbColor rgb="FF1F497D"/>
      <rgbColor rgb="FF8A5A00"/>
      <rgbColor rgb="FF800080"/>
      <rgbColor rgb="FF1E6B3A"/>
      <rgbColor rgb="FFD0D0D0"/>
      <rgbColor rgb="FF4A4A4A"/>
      <rgbColor rgb="FFF4ECF7"/>
      <rgbColor rgb="FF6C3483"/>
      <rgbColor rgb="FFFDFEFE"/>
      <rgbColor rgb="FFD1F2EB"/>
      <rgbColor rgb="FF4A235A"/>
      <rgbColor rgb="FFFF8080"/>
      <rgbColor rgb="FF0563C1"/>
      <rgbColor rgb="FFB9CDE5"/>
      <rgbColor rgb="FF34506B"/>
      <rgbColor rgb="FFFF00FF"/>
      <rgbColor rgb="FFEAFAF1"/>
      <rgbColor rgb="FF00FFFF"/>
      <rgbColor rgb="FF800080"/>
      <rgbColor rgb="FF800000"/>
      <rgbColor rgb="FF1A5276"/>
      <rgbColor rgb="FF0000FF"/>
      <rgbColor rgb="FF00CCFF"/>
      <rgbColor rgb="FFE6F3FF"/>
      <rgbColor rgb="FFD5F5E3"/>
      <rgbColor rgb="FFFFE699"/>
      <rgbColor rgb="FFC6EFCE"/>
      <rgbColor rgb="FFE8E8E8"/>
      <rgbColor rgb="FFD6EAF8"/>
      <rgbColor rgb="FFD3D1C7"/>
      <rgbColor rgb="FF1F4E79"/>
      <rgbColor rgb="FF33CCCC"/>
      <rgbColor rgb="FF99CC00"/>
      <rgbColor rgb="FFEBF5FB"/>
      <rgbColor rgb="FFFF9900"/>
      <rgbColor rgb="FFFF6600"/>
      <rgbColor rgb="FF4F81BD"/>
      <rgbColor rgb="FFAAAAAA"/>
      <rgbColor rgb="FF154360"/>
      <rgbColor rgb="FF1D8348"/>
      <rgbColor rgb="FF0F2233"/>
      <rgbColor rgb="FF1B2631"/>
      <rgbColor rgb="FF922B21"/>
      <rgbColor rgb="FF6A2E7A"/>
      <rgbColor rgb="FF1A237E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zoomScaleNormal="100" workbookViewId="0">
      <selection activeCell="I23" sqref="I23"/>
    </sheetView>
  </sheetViews>
  <sheetFormatPr defaultColWidth="8.6640625" defaultRowHeight="14.4" x14ac:dyDescent="0.3"/>
  <cols>
    <col min="1" max="1" width="13" customWidth="1"/>
    <col min="2" max="2" width="20" customWidth="1"/>
    <col min="3" max="3" width="42" customWidth="1"/>
    <col min="4" max="4" width="5" customWidth="1"/>
    <col min="5" max="5" width="18" customWidth="1"/>
    <col min="6" max="6" width="11" customWidth="1"/>
    <col min="7" max="8" width="13" customWidth="1"/>
    <col min="9" max="9" width="52" customWidth="1"/>
    <col min="10" max="11" width="26" customWidth="1"/>
    <col min="12" max="12" width="40" customWidth="1"/>
  </cols>
  <sheetData>
    <row r="1" spans="1:12" ht="21.75" customHeight="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ht="21.75" customHeight="1" x14ac:dyDescent="0.3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4" spans="1:12" ht="15.6" x14ac:dyDescent="0.3">
      <c r="C4" s="1" t="s">
        <v>2</v>
      </c>
      <c r="H4" s="2">
        <f>H34</f>
        <v>56252</v>
      </c>
    </row>
    <row r="5" spans="1:12" x14ac:dyDescent="0.3">
      <c r="C5" s="1" t="s">
        <v>3</v>
      </c>
      <c r="H5" s="3">
        <f>H51</f>
        <v>197635</v>
      </c>
    </row>
    <row r="6" spans="1:12" x14ac:dyDescent="0.3">
      <c r="C6" s="1" t="s">
        <v>4</v>
      </c>
      <c r="H6" s="3">
        <f>H59</f>
        <v>2100</v>
      </c>
    </row>
    <row r="7" spans="1:12" x14ac:dyDescent="0.3">
      <c r="C7" s="1" t="s">
        <v>5</v>
      </c>
      <c r="H7" s="3">
        <f>H68</f>
        <v>50700</v>
      </c>
    </row>
    <row r="8" spans="1:12" x14ac:dyDescent="0.3">
      <c r="C8" s="1" t="s">
        <v>6</v>
      </c>
      <c r="H8" s="3">
        <f>H86</f>
        <v>274548</v>
      </c>
    </row>
    <row r="9" spans="1:12" ht="15.6" x14ac:dyDescent="0.3">
      <c r="C9" s="1" t="s">
        <v>7</v>
      </c>
      <c r="H9" s="4">
        <f>H34+H51+H59+H68+H86</f>
        <v>581235</v>
      </c>
    </row>
    <row r="11" spans="1:12" ht="21.75" customHeight="1" x14ac:dyDescent="0.3">
      <c r="A11" s="72" t="s">
        <v>8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</row>
    <row r="12" spans="1:12" ht="30" customHeight="1" x14ac:dyDescent="0.3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20</v>
      </c>
    </row>
    <row r="13" spans="1:12" x14ac:dyDescent="0.3">
      <c r="A13" s="6" t="s">
        <v>21</v>
      </c>
      <c r="B13" s="6" t="s">
        <v>22</v>
      </c>
      <c r="C13" s="7" t="s">
        <v>828</v>
      </c>
      <c r="D13" s="6">
        <v>1</v>
      </c>
      <c r="E13" s="6" t="s">
        <v>23</v>
      </c>
      <c r="F13" s="6" t="s">
        <v>24</v>
      </c>
      <c r="G13" s="8">
        <v>26000</v>
      </c>
      <c r="H13" s="9">
        <f t="shared" ref="H13:H33" si="0">G13*D13</f>
        <v>26000</v>
      </c>
      <c r="I13" s="10" t="s">
        <v>25</v>
      </c>
      <c r="J13" s="10" t="s">
        <v>26</v>
      </c>
      <c r="K13" s="10" t="s">
        <v>27</v>
      </c>
      <c r="L13" s="11"/>
    </row>
    <row r="14" spans="1:12" x14ac:dyDescent="0.3">
      <c r="A14" s="6" t="s">
        <v>28</v>
      </c>
      <c r="B14" s="6" t="s">
        <v>29</v>
      </c>
      <c r="C14" s="7" t="s">
        <v>30</v>
      </c>
      <c r="D14" s="6">
        <v>2</v>
      </c>
      <c r="E14" s="6" t="s">
        <v>31</v>
      </c>
      <c r="F14" s="6" t="s">
        <v>32</v>
      </c>
      <c r="G14" s="8">
        <v>900</v>
      </c>
      <c r="H14" s="9">
        <f t="shared" si="0"/>
        <v>1800</v>
      </c>
      <c r="I14" s="10" t="s">
        <v>33</v>
      </c>
      <c r="J14" s="10" t="s">
        <v>34</v>
      </c>
      <c r="K14" s="10" t="s">
        <v>27</v>
      </c>
      <c r="L14" s="11"/>
    </row>
    <row r="15" spans="1:12" x14ac:dyDescent="0.3">
      <c r="A15" s="6" t="s">
        <v>35</v>
      </c>
      <c r="B15" s="6" t="s">
        <v>36</v>
      </c>
      <c r="C15" s="7" t="s">
        <v>37</v>
      </c>
      <c r="D15" s="6">
        <v>1</v>
      </c>
      <c r="E15" s="6" t="s">
        <v>38</v>
      </c>
      <c r="F15" s="6" t="s">
        <v>39</v>
      </c>
      <c r="G15" s="8">
        <v>400</v>
      </c>
      <c r="H15" s="9">
        <f t="shared" si="0"/>
        <v>400</v>
      </c>
      <c r="I15" s="10" t="s">
        <v>40</v>
      </c>
      <c r="J15" s="10" t="s">
        <v>34</v>
      </c>
      <c r="K15" s="10" t="s">
        <v>27</v>
      </c>
      <c r="L15" s="11"/>
    </row>
    <row r="16" spans="1:12" ht="20.399999999999999" x14ac:dyDescent="0.3">
      <c r="A16" s="6" t="s">
        <v>41</v>
      </c>
      <c r="B16" s="6" t="s">
        <v>42</v>
      </c>
      <c r="C16" s="7" t="s">
        <v>43</v>
      </c>
      <c r="D16" s="6">
        <v>1</v>
      </c>
      <c r="E16" s="6" t="s">
        <v>44</v>
      </c>
      <c r="F16" s="6" t="s">
        <v>45</v>
      </c>
      <c r="G16" s="8">
        <v>2200</v>
      </c>
      <c r="H16" s="9">
        <f t="shared" si="0"/>
        <v>2200</v>
      </c>
      <c r="I16" s="10" t="s">
        <v>46</v>
      </c>
      <c r="J16" s="10" t="s">
        <v>47</v>
      </c>
      <c r="K16" s="10" t="s">
        <v>27</v>
      </c>
      <c r="L16" s="11" t="s">
        <v>48</v>
      </c>
    </row>
    <row r="17" spans="1:12" ht="20.399999999999999" x14ac:dyDescent="0.3">
      <c r="A17" s="6" t="s">
        <v>49</v>
      </c>
      <c r="B17" s="6" t="s">
        <v>50</v>
      </c>
      <c r="C17" s="7" t="s">
        <v>51</v>
      </c>
      <c r="D17" s="6">
        <v>1</v>
      </c>
      <c r="E17" s="6" t="s">
        <v>52</v>
      </c>
      <c r="F17" s="6" t="s">
        <v>53</v>
      </c>
      <c r="G17" s="8">
        <v>700</v>
      </c>
      <c r="H17" s="9">
        <f t="shared" si="0"/>
        <v>700</v>
      </c>
      <c r="I17" s="10" t="s">
        <v>54</v>
      </c>
      <c r="J17" s="10" t="s">
        <v>47</v>
      </c>
      <c r="K17" s="10" t="s">
        <v>27</v>
      </c>
      <c r="L17" s="11" t="s">
        <v>55</v>
      </c>
    </row>
    <row r="18" spans="1:12" x14ac:dyDescent="0.3">
      <c r="A18" s="6" t="s">
        <v>56</v>
      </c>
      <c r="B18" s="6" t="s">
        <v>57</v>
      </c>
      <c r="C18" s="7" t="s">
        <v>58</v>
      </c>
      <c r="D18" s="6">
        <v>1</v>
      </c>
      <c r="E18" s="6" t="s">
        <v>59</v>
      </c>
      <c r="F18" s="6" t="s">
        <v>60</v>
      </c>
      <c r="G18" s="8">
        <v>2500</v>
      </c>
      <c r="H18" s="9">
        <f t="shared" si="0"/>
        <v>2500</v>
      </c>
      <c r="I18" s="10" t="s">
        <v>61</v>
      </c>
      <c r="J18" s="10" t="s">
        <v>62</v>
      </c>
      <c r="K18" s="10" t="s">
        <v>27</v>
      </c>
      <c r="L18" s="11"/>
    </row>
    <row r="19" spans="1:12" x14ac:dyDescent="0.3">
      <c r="A19" s="6" t="s">
        <v>63</v>
      </c>
      <c r="B19" s="6" t="s">
        <v>64</v>
      </c>
      <c r="C19" s="7" t="s">
        <v>65</v>
      </c>
      <c r="D19" s="6">
        <v>1</v>
      </c>
      <c r="E19" s="6" t="s">
        <v>66</v>
      </c>
      <c r="F19" s="6" t="s">
        <v>67</v>
      </c>
      <c r="G19" s="8">
        <v>2400</v>
      </c>
      <c r="H19" s="9">
        <f t="shared" si="0"/>
        <v>2400</v>
      </c>
      <c r="I19" s="10" t="s">
        <v>68</v>
      </c>
      <c r="J19" s="10" t="s">
        <v>69</v>
      </c>
      <c r="K19" s="10" t="s">
        <v>27</v>
      </c>
      <c r="L19" s="11"/>
    </row>
    <row r="20" spans="1:12" x14ac:dyDescent="0.3">
      <c r="A20" s="6" t="s">
        <v>70</v>
      </c>
      <c r="B20" s="6" t="s">
        <v>71</v>
      </c>
      <c r="C20" s="7" t="s">
        <v>72</v>
      </c>
      <c r="D20" s="6">
        <v>1</v>
      </c>
      <c r="E20" s="6" t="s">
        <v>73</v>
      </c>
      <c r="F20" s="6" t="s">
        <v>74</v>
      </c>
      <c r="G20" s="8">
        <v>1200</v>
      </c>
      <c r="H20" s="9">
        <f t="shared" si="0"/>
        <v>1200</v>
      </c>
      <c r="I20" s="10" t="s">
        <v>75</v>
      </c>
      <c r="J20" s="10" t="s">
        <v>69</v>
      </c>
      <c r="K20" s="10" t="s">
        <v>27</v>
      </c>
      <c r="L20" s="11"/>
    </row>
    <row r="21" spans="1:12" x14ac:dyDescent="0.3">
      <c r="A21" s="6" t="s">
        <v>76</v>
      </c>
      <c r="B21" s="6" t="s">
        <v>77</v>
      </c>
      <c r="C21" s="7" t="s">
        <v>78</v>
      </c>
      <c r="D21" s="6">
        <v>1</v>
      </c>
      <c r="E21" s="6" t="s">
        <v>79</v>
      </c>
      <c r="F21" s="6" t="s">
        <v>80</v>
      </c>
      <c r="G21" s="8">
        <v>2499</v>
      </c>
      <c r="H21" s="9">
        <f t="shared" si="0"/>
        <v>2499</v>
      </c>
      <c r="I21" s="10" t="s">
        <v>81</v>
      </c>
      <c r="J21" s="10" t="s">
        <v>82</v>
      </c>
      <c r="K21" s="10" t="s">
        <v>27</v>
      </c>
      <c r="L21" s="11"/>
    </row>
    <row r="22" spans="1:12" ht="20.399999999999999" x14ac:dyDescent="0.3">
      <c r="A22" s="6" t="s">
        <v>83</v>
      </c>
      <c r="B22" s="6" t="s">
        <v>84</v>
      </c>
      <c r="C22" s="7" t="s">
        <v>85</v>
      </c>
      <c r="D22" s="6">
        <v>1</v>
      </c>
      <c r="E22" s="6" t="s">
        <v>86</v>
      </c>
      <c r="F22" s="6" t="s">
        <v>87</v>
      </c>
      <c r="G22" s="8">
        <v>3300</v>
      </c>
      <c r="H22" s="9">
        <f t="shared" si="0"/>
        <v>3300</v>
      </c>
      <c r="I22" s="10" t="s">
        <v>88</v>
      </c>
      <c r="J22" s="10" t="s">
        <v>82</v>
      </c>
      <c r="K22" s="10" t="s">
        <v>27</v>
      </c>
      <c r="L22" s="11" t="s">
        <v>89</v>
      </c>
    </row>
    <row r="23" spans="1:12" x14ac:dyDescent="0.3">
      <c r="A23" s="6" t="s">
        <v>90</v>
      </c>
      <c r="B23" s="6" t="s">
        <v>91</v>
      </c>
      <c r="C23" s="7" t="s">
        <v>92</v>
      </c>
      <c r="D23" s="6">
        <v>1</v>
      </c>
      <c r="E23" s="6" t="s">
        <v>93</v>
      </c>
      <c r="F23" s="6" t="s">
        <v>94</v>
      </c>
      <c r="G23" s="8">
        <v>450</v>
      </c>
      <c r="H23" s="9">
        <f t="shared" si="0"/>
        <v>450</v>
      </c>
      <c r="I23" s="10" t="s">
        <v>95</v>
      </c>
      <c r="J23" s="10" t="s">
        <v>96</v>
      </c>
      <c r="K23" s="10" t="s">
        <v>27</v>
      </c>
      <c r="L23" s="11"/>
    </row>
    <row r="24" spans="1:12" x14ac:dyDescent="0.3">
      <c r="A24" s="6" t="s">
        <v>97</v>
      </c>
      <c r="B24" s="6" t="s">
        <v>98</v>
      </c>
      <c r="C24" s="7" t="s">
        <v>99</v>
      </c>
      <c r="D24" s="6">
        <v>1</v>
      </c>
      <c r="E24" s="6" t="s">
        <v>100</v>
      </c>
      <c r="F24" s="6" t="s">
        <v>101</v>
      </c>
      <c r="G24" s="8">
        <v>160</v>
      </c>
      <c r="H24" s="9">
        <f t="shared" si="0"/>
        <v>160</v>
      </c>
      <c r="I24" s="10" t="s">
        <v>102</v>
      </c>
      <c r="J24" s="10" t="s">
        <v>103</v>
      </c>
      <c r="K24" s="10" t="s">
        <v>27</v>
      </c>
      <c r="L24" s="11"/>
    </row>
    <row r="25" spans="1:12" x14ac:dyDescent="0.3">
      <c r="A25" s="6" t="s">
        <v>104</v>
      </c>
      <c r="B25" s="6" t="s">
        <v>105</v>
      </c>
      <c r="C25" s="7" t="s">
        <v>106</v>
      </c>
      <c r="D25" s="6">
        <v>1</v>
      </c>
      <c r="E25" s="6" t="s">
        <v>107</v>
      </c>
      <c r="F25" s="6" t="s">
        <v>108</v>
      </c>
      <c r="G25" s="8">
        <v>7000</v>
      </c>
      <c r="H25" s="9">
        <f t="shared" si="0"/>
        <v>7000</v>
      </c>
      <c r="I25" s="10" t="s">
        <v>109</v>
      </c>
      <c r="J25" s="10" t="s">
        <v>110</v>
      </c>
      <c r="K25" s="10" t="s">
        <v>27</v>
      </c>
      <c r="L25" s="11"/>
    </row>
    <row r="26" spans="1:12" x14ac:dyDescent="0.3">
      <c r="A26" s="6" t="s">
        <v>111</v>
      </c>
      <c r="B26" s="6" t="s">
        <v>112</v>
      </c>
      <c r="C26" s="7" t="s">
        <v>113</v>
      </c>
      <c r="D26" s="6">
        <v>1</v>
      </c>
      <c r="E26" s="6" t="s">
        <v>114</v>
      </c>
      <c r="F26" s="6" t="s">
        <v>115</v>
      </c>
      <c r="G26" s="8">
        <v>2000</v>
      </c>
      <c r="H26" s="9">
        <f t="shared" si="0"/>
        <v>2000</v>
      </c>
      <c r="I26" s="10" t="s">
        <v>116</v>
      </c>
      <c r="J26" s="10" t="s">
        <v>110</v>
      </c>
      <c r="K26" s="10" t="s">
        <v>27</v>
      </c>
      <c r="L26" s="11"/>
    </row>
    <row r="27" spans="1:12" x14ac:dyDescent="0.3">
      <c r="A27" s="6" t="s">
        <v>117</v>
      </c>
      <c r="B27" s="6" t="s">
        <v>118</v>
      </c>
      <c r="C27" s="7" t="s">
        <v>119</v>
      </c>
      <c r="D27" s="6">
        <v>1</v>
      </c>
      <c r="E27" s="6" t="s">
        <v>120</v>
      </c>
      <c r="F27" s="6" t="s">
        <v>121</v>
      </c>
      <c r="G27" s="8">
        <v>3200</v>
      </c>
      <c r="H27" s="9">
        <f t="shared" si="0"/>
        <v>3200</v>
      </c>
      <c r="I27" s="10" t="s">
        <v>122</v>
      </c>
      <c r="J27" s="10" t="s">
        <v>110</v>
      </c>
      <c r="K27" s="10" t="s">
        <v>27</v>
      </c>
      <c r="L27" s="11"/>
    </row>
    <row r="28" spans="1:12" x14ac:dyDescent="0.3">
      <c r="A28" s="6" t="s">
        <v>123</v>
      </c>
      <c r="B28" s="6" t="s">
        <v>124</v>
      </c>
      <c r="C28" s="7" t="s">
        <v>125</v>
      </c>
      <c r="D28" s="6">
        <v>1</v>
      </c>
      <c r="E28" s="6" t="s">
        <v>126</v>
      </c>
      <c r="F28" s="6" t="s">
        <v>127</v>
      </c>
      <c r="G28" s="8">
        <v>350</v>
      </c>
      <c r="H28" s="9">
        <f t="shared" si="0"/>
        <v>350</v>
      </c>
      <c r="I28" s="10" t="s">
        <v>128</v>
      </c>
      <c r="J28" s="10" t="s">
        <v>110</v>
      </c>
      <c r="K28" s="10" t="s">
        <v>27</v>
      </c>
      <c r="L28" s="11"/>
    </row>
    <row r="29" spans="1:12" x14ac:dyDescent="0.3">
      <c r="A29" s="6" t="s">
        <v>129</v>
      </c>
      <c r="B29" s="6" t="s">
        <v>130</v>
      </c>
      <c r="C29" s="7" t="s">
        <v>131</v>
      </c>
      <c r="D29" s="6">
        <v>1</v>
      </c>
      <c r="E29" s="6" t="s">
        <v>132</v>
      </c>
      <c r="F29" s="6" t="s">
        <v>133</v>
      </c>
      <c r="G29" s="8">
        <v>25</v>
      </c>
      <c r="H29" s="9">
        <f t="shared" si="0"/>
        <v>25</v>
      </c>
      <c r="I29" s="10" t="s">
        <v>134</v>
      </c>
      <c r="J29" s="10" t="s">
        <v>110</v>
      </c>
      <c r="K29" s="10" t="s">
        <v>27</v>
      </c>
      <c r="L29" s="11"/>
    </row>
    <row r="30" spans="1:12" x14ac:dyDescent="0.3">
      <c r="A30" s="6" t="s">
        <v>135</v>
      </c>
      <c r="B30" s="6" t="s">
        <v>136</v>
      </c>
      <c r="C30" s="7" t="s">
        <v>137</v>
      </c>
      <c r="D30" s="6">
        <v>1</v>
      </c>
      <c r="E30" s="6" t="s">
        <v>138</v>
      </c>
      <c r="F30" s="6" t="s">
        <v>101</v>
      </c>
      <c r="G30" s="8">
        <v>40</v>
      </c>
      <c r="H30" s="9">
        <f t="shared" si="0"/>
        <v>40</v>
      </c>
      <c r="I30" s="10" t="s">
        <v>139</v>
      </c>
      <c r="J30" s="10" t="s">
        <v>140</v>
      </c>
      <c r="K30" s="10" t="s">
        <v>27</v>
      </c>
      <c r="L30" s="11"/>
    </row>
    <row r="31" spans="1:12" x14ac:dyDescent="0.3">
      <c r="A31" s="6" t="s">
        <v>141</v>
      </c>
      <c r="B31" s="6" t="s">
        <v>142</v>
      </c>
      <c r="C31" s="7" t="s">
        <v>143</v>
      </c>
      <c r="D31" s="6">
        <v>1</v>
      </c>
      <c r="E31" s="6" t="s">
        <v>144</v>
      </c>
      <c r="F31" s="6" t="s">
        <v>145</v>
      </c>
      <c r="G31" s="8">
        <v>8</v>
      </c>
      <c r="H31" s="9">
        <f t="shared" si="0"/>
        <v>8</v>
      </c>
      <c r="I31" s="10" t="s">
        <v>146</v>
      </c>
      <c r="J31" s="10" t="s">
        <v>110</v>
      </c>
      <c r="K31" s="10" t="s">
        <v>27</v>
      </c>
      <c r="L31" s="11"/>
    </row>
    <row r="32" spans="1:12" x14ac:dyDescent="0.3">
      <c r="A32" s="6" t="s">
        <v>147</v>
      </c>
      <c r="B32" s="6" t="s">
        <v>148</v>
      </c>
      <c r="C32" s="7" t="s">
        <v>149</v>
      </c>
      <c r="D32" s="6">
        <v>1</v>
      </c>
      <c r="E32" s="6" t="s">
        <v>150</v>
      </c>
      <c r="F32" s="6" t="s">
        <v>151</v>
      </c>
      <c r="G32" s="8">
        <v>20</v>
      </c>
      <c r="H32" s="9">
        <f t="shared" si="0"/>
        <v>20</v>
      </c>
      <c r="I32" s="10" t="s">
        <v>152</v>
      </c>
      <c r="J32" s="10" t="s">
        <v>110</v>
      </c>
      <c r="K32" s="10" t="s">
        <v>27</v>
      </c>
      <c r="L32" s="11"/>
    </row>
    <row r="33" spans="1:12" ht="30.6" x14ac:dyDescent="0.3">
      <c r="A33" s="6" t="s">
        <v>153</v>
      </c>
      <c r="B33" s="6" t="s">
        <v>154</v>
      </c>
      <c r="C33" s="7" t="s">
        <v>155</v>
      </c>
      <c r="D33" s="6">
        <v>1</v>
      </c>
      <c r="E33" s="6" t="s">
        <v>156</v>
      </c>
      <c r="F33" s="6" t="s">
        <v>157</v>
      </c>
      <c r="G33" s="8">
        <v>0</v>
      </c>
      <c r="H33" s="9">
        <f t="shared" si="0"/>
        <v>0</v>
      </c>
      <c r="I33" s="10" t="s">
        <v>158</v>
      </c>
      <c r="J33" s="10" t="s">
        <v>159</v>
      </c>
      <c r="K33" s="10" t="s">
        <v>160</v>
      </c>
      <c r="L33" s="11" t="s">
        <v>161</v>
      </c>
    </row>
    <row r="34" spans="1:12" x14ac:dyDescent="0.3">
      <c r="C34" s="12" t="s">
        <v>162</v>
      </c>
      <c r="H34" s="13">
        <f>SUM(H13:H33)</f>
        <v>56252</v>
      </c>
    </row>
    <row r="36" spans="1:12" ht="21.75" customHeight="1" x14ac:dyDescent="0.3">
      <c r="A36" s="73" t="s">
        <v>163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ht="30" customHeight="1" x14ac:dyDescent="0.3">
      <c r="A37" s="5" t="s">
        <v>9</v>
      </c>
      <c r="B37" s="5" t="s">
        <v>10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15</v>
      </c>
      <c r="H37" s="5" t="s">
        <v>16</v>
      </c>
      <c r="I37" s="5" t="s">
        <v>17</v>
      </c>
      <c r="J37" s="5" t="s">
        <v>18</v>
      </c>
      <c r="K37" s="5" t="s">
        <v>19</v>
      </c>
      <c r="L37" s="5" t="s">
        <v>20</v>
      </c>
    </row>
    <row r="38" spans="1:12" ht="20.399999999999999" x14ac:dyDescent="0.3">
      <c r="A38" s="6" t="s">
        <v>164</v>
      </c>
      <c r="B38" s="6" t="s">
        <v>22</v>
      </c>
      <c r="C38" s="7" t="s">
        <v>165</v>
      </c>
      <c r="D38" s="6">
        <v>1</v>
      </c>
      <c r="E38" s="6" t="s">
        <v>166</v>
      </c>
      <c r="F38" s="6" t="s">
        <v>167</v>
      </c>
      <c r="G38" s="8">
        <v>125000</v>
      </c>
      <c r="H38" s="9">
        <f t="shared" ref="H38:H50" si="1">G38*D38</f>
        <v>125000</v>
      </c>
      <c r="I38" s="10" t="s">
        <v>168</v>
      </c>
      <c r="J38" s="10" t="s">
        <v>26</v>
      </c>
      <c r="K38" s="10" t="s">
        <v>169</v>
      </c>
      <c r="L38" s="11" t="s">
        <v>170</v>
      </c>
    </row>
    <row r="39" spans="1:12" x14ac:dyDescent="0.3">
      <c r="A39" s="6" t="s">
        <v>171</v>
      </c>
      <c r="B39" s="6"/>
      <c r="C39" s="7" t="s">
        <v>172</v>
      </c>
      <c r="D39" s="6">
        <v>1</v>
      </c>
      <c r="E39" s="6" t="s">
        <v>173</v>
      </c>
      <c r="F39" s="6" t="s">
        <v>174</v>
      </c>
      <c r="G39" s="8">
        <v>45000</v>
      </c>
      <c r="H39" s="9">
        <f t="shared" si="1"/>
        <v>45000</v>
      </c>
      <c r="I39" s="10" t="s">
        <v>175</v>
      </c>
      <c r="J39" s="10" t="s">
        <v>26</v>
      </c>
      <c r="K39" s="10" t="s">
        <v>176</v>
      </c>
      <c r="L39" s="11"/>
    </row>
    <row r="40" spans="1:12" x14ac:dyDescent="0.3">
      <c r="A40" s="6" t="s">
        <v>177</v>
      </c>
      <c r="B40" s="6"/>
      <c r="C40" s="7" t="s">
        <v>178</v>
      </c>
      <c r="D40" s="6">
        <v>1</v>
      </c>
      <c r="E40" s="6" t="s">
        <v>179</v>
      </c>
      <c r="F40" s="6" t="s">
        <v>180</v>
      </c>
      <c r="G40" s="8">
        <v>15000</v>
      </c>
      <c r="H40" s="9">
        <f t="shared" si="1"/>
        <v>15000</v>
      </c>
      <c r="I40" s="10" t="s">
        <v>181</v>
      </c>
      <c r="J40" s="10" t="s">
        <v>34</v>
      </c>
      <c r="K40" s="10" t="s">
        <v>176</v>
      </c>
      <c r="L40" s="11"/>
    </row>
    <row r="41" spans="1:12" x14ac:dyDescent="0.3">
      <c r="A41" s="6" t="s">
        <v>182</v>
      </c>
      <c r="B41" s="6"/>
      <c r="C41" s="7" t="s">
        <v>183</v>
      </c>
      <c r="D41" s="6">
        <v>2</v>
      </c>
      <c r="E41" s="6" t="s">
        <v>184</v>
      </c>
      <c r="F41" s="6" t="s">
        <v>185</v>
      </c>
      <c r="G41" s="8">
        <v>2500</v>
      </c>
      <c r="H41" s="9">
        <f t="shared" si="1"/>
        <v>5000</v>
      </c>
      <c r="I41" s="10" t="s">
        <v>186</v>
      </c>
      <c r="J41" s="10" t="s">
        <v>34</v>
      </c>
      <c r="K41" s="10" t="s">
        <v>176</v>
      </c>
      <c r="L41" s="11"/>
    </row>
    <row r="42" spans="1:12" x14ac:dyDescent="0.3">
      <c r="A42" s="6" t="s">
        <v>187</v>
      </c>
      <c r="B42" s="6" t="s">
        <v>188</v>
      </c>
      <c r="C42" s="7" t="s">
        <v>189</v>
      </c>
      <c r="D42" s="6">
        <v>1</v>
      </c>
      <c r="E42" s="6" t="s">
        <v>190</v>
      </c>
      <c r="F42" s="6">
        <v>450</v>
      </c>
      <c r="G42" s="8">
        <v>800</v>
      </c>
      <c r="H42" s="9">
        <f t="shared" si="1"/>
        <v>800</v>
      </c>
      <c r="I42" s="10" t="s">
        <v>191</v>
      </c>
      <c r="J42" s="10" t="s">
        <v>34</v>
      </c>
      <c r="K42" s="10" t="s">
        <v>192</v>
      </c>
      <c r="L42" s="11" t="s">
        <v>193</v>
      </c>
    </row>
    <row r="43" spans="1:12" x14ac:dyDescent="0.3">
      <c r="A43" s="6" t="s">
        <v>194</v>
      </c>
      <c r="B43" s="6" t="s">
        <v>195</v>
      </c>
      <c r="C43" s="7" t="s">
        <v>196</v>
      </c>
      <c r="D43" s="6">
        <v>1</v>
      </c>
      <c r="E43" s="6" t="s">
        <v>197</v>
      </c>
      <c r="F43" s="6">
        <v>280</v>
      </c>
      <c r="G43" s="8">
        <v>450</v>
      </c>
      <c r="H43" s="9">
        <f t="shared" si="1"/>
        <v>450</v>
      </c>
      <c r="I43" s="10" t="s">
        <v>198</v>
      </c>
      <c r="J43" s="10" t="s">
        <v>199</v>
      </c>
      <c r="K43" s="10" t="s">
        <v>192</v>
      </c>
      <c r="L43" s="11" t="s">
        <v>200</v>
      </c>
    </row>
    <row r="44" spans="1:12" x14ac:dyDescent="0.3">
      <c r="A44" s="6" t="s">
        <v>201</v>
      </c>
      <c r="B44" s="6" t="s">
        <v>202</v>
      </c>
      <c r="C44" s="7" t="s">
        <v>203</v>
      </c>
      <c r="D44" s="6">
        <v>4</v>
      </c>
      <c r="E44" s="6" t="s">
        <v>204</v>
      </c>
      <c r="F44" s="6">
        <v>320</v>
      </c>
      <c r="G44" s="8">
        <v>180</v>
      </c>
      <c r="H44" s="9">
        <f t="shared" si="1"/>
        <v>720</v>
      </c>
      <c r="I44" s="10" t="s">
        <v>205</v>
      </c>
      <c r="J44" s="10" t="s">
        <v>199</v>
      </c>
      <c r="K44" s="10" t="s">
        <v>192</v>
      </c>
      <c r="L44" s="11" t="s">
        <v>206</v>
      </c>
    </row>
    <row r="45" spans="1:12" x14ac:dyDescent="0.3">
      <c r="A45" s="6" t="s">
        <v>207</v>
      </c>
      <c r="B45" s="6" t="s">
        <v>208</v>
      </c>
      <c r="C45" s="7" t="s">
        <v>209</v>
      </c>
      <c r="D45" s="6">
        <v>1</v>
      </c>
      <c r="E45" s="6" t="s">
        <v>210</v>
      </c>
      <c r="F45" s="6">
        <v>600</v>
      </c>
      <c r="G45" s="8">
        <v>1200</v>
      </c>
      <c r="H45" s="9">
        <f t="shared" si="1"/>
        <v>1200</v>
      </c>
      <c r="I45" s="10" t="s">
        <v>211</v>
      </c>
      <c r="J45" s="10" t="s">
        <v>199</v>
      </c>
      <c r="K45" s="10" t="s">
        <v>192</v>
      </c>
      <c r="L45" s="11" t="s">
        <v>212</v>
      </c>
    </row>
    <row r="46" spans="1:12" x14ac:dyDescent="0.3">
      <c r="A46" s="6" t="s">
        <v>213</v>
      </c>
      <c r="B46" s="6" t="s">
        <v>208</v>
      </c>
      <c r="C46" s="7" t="s">
        <v>214</v>
      </c>
      <c r="D46" s="6">
        <v>1</v>
      </c>
      <c r="E46" s="6" t="s">
        <v>215</v>
      </c>
      <c r="F46" s="6">
        <v>3200</v>
      </c>
      <c r="G46" s="8">
        <v>1800</v>
      </c>
      <c r="H46" s="9">
        <f t="shared" si="1"/>
        <v>1800</v>
      </c>
      <c r="I46" s="10" t="s">
        <v>216</v>
      </c>
      <c r="J46" s="10" t="s">
        <v>199</v>
      </c>
      <c r="K46" s="10" t="s">
        <v>192</v>
      </c>
      <c r="L46" s="11" t="s">
        <v>217</v>
      </c>
    </row>
    <row r="47" spans="1:12" ht="20.399999999999999" x14ac:dyDescent="0.3">
      <c r="A47" s="6" t="s">
        <v>218</v>
      </c>
      <c r="B47" s="6" t="s">
        <v>208</v>
      </c>
      <c r="C47" s="7" t="s">
        <v>219</v>
      </c>
      <c r="D47" s="6">
        <v>1</v>
      </c>
      <c r="E47" s="6" t="s">
        <v>220</v>
      </c>
      <c r="F47" s="6">
        <v>1200</v>
      </c>
      <c r="G47" s="8">
        <v>2500</v>
      </c>
      <c r="H47" s="9">
        <f t="shared" si="1"/>
        <v>2500</v>
      </c>
      <c r="I47" s="10" t="s">
        <v>221</v>
      </c>
      <c r="J47" s="10" t="s">
        <v>199</v>
      </c>
      <c r="K47" s="10" t="s">
        <v>192</v>
      </c>
      <c r="L47" s="11" t="s">
        <v>222</v>
      </c>
    </row>
    <row r="48" spans="1:12" x14ac:dyDescent="0.3">
      <c r="A48" s="6" t="s">
        <v>223</v>
      </c>
      <c r="B48" s="6" t="s">
        <v>224</v>
      </c>
      <c r="C48" s="7" t="s">
        <v>225</v>
      </c>
      <c r="D48" s="6">
        <v>1</v>
      </c>
      <c r="E48" s="6" t="s">
        <v>226</v>
      </c>
      <c r="F48" s="6">
        <v>250</v>
      </c>
      <c r="G48" s="8">
        <v>50</v>
      </c>
      <c r="H48" s="9">
        <f t="shared" si="1"/>
        <v>50</v>
      </c>
      <c r="I48" s="10" t="s">
        <v>227</v>
      </c>
      <c r="J48" s="10" t="s">
        <v>199</v>
      </c>
      <c r="K48" s="10" t="s">
        <v>192</v>
      </c>
      <c r="L48" s="11" t="s">
        <v>228</v>
      </c>
    </row>
    <row r="49" spans="1:12" x14ac:dyDescent="0.3">
      <c r="A49" s="6" t="s">
        <v>229</v>
      </c>
      <c r="B49" s="6" t="s">
        <v>224</v>
      </c>
      <c r="C49" s="7" t="s">
        <v>230</v>
      </c>
      <c r="D49" s="6">
        <v>1</v>
      </c>
      <c r="E49" s="6" t="s">
        <v>231</v>
      </c>
      <c r="F49" s="6">
        <v>142</v>
      </c>
      <c r="G49" s="8">
        <v>25</v>
      </c>
      <c r="H49" s="9">
        <f t="shared" si="1"/>
        <v>25</v>
      </c>
      <c r="I49" s="10" t="s">
        <v>232</v>
      </c>
      <c r="J49" s="10" t="s">
        <v>199</v>
      </c>
      <c r="K49" s="10" t="s">
        <v>192</v>
      </c>
      <c r="L49" s="11" t="s">
        <v>233</v>
      </c>
    </row>
    <row r="50" spans="1:12" x14ac:dyDescent="0.3">
      <c r="A50" s="6" t="s">
        <v>234</v>
      </c>
      <c r="B50" s="6" t="s">
        <v>235</v>
      </c>
      <c r="C50" s="7" t="s">
        <v>236</v>
      </c>
      <c r="D50" s="6">
        <v>1</v>
      </c>
      <c r="E50" s="6" t="s">
        <v>237</v>
      </c>
      <c r="F50" s="6">
        <v>80</v>
      </c>
      <c r="G50" s="8">
        <v>90</v>
      </c>
      <c r="H50" s="9">
        <f t="shared" si="1"/>
        <v>90</v>
      </c>
      <c r="I50" s="10" t="s">
        <v>238</v>
      </c>
      <c r="J50" s="10" t="s">
        <v>199</v>
      </c>
      <c r="K50" s="10" t="s">
        <v>192</v>
      </c>
      <c r="L50" s="11" t="s">
        <v>239</v>
      </c>
    </row>
    <row r="51" spans="1:12" x14ac:dyDescent="0.3">
      <c r="C51" s="12" t="s">
        <v>240</v>
      </c>
      <c r="H51" s="13">
        <f>SUM(H38:H50)</f>
        <v>197635</v>
      </c>
    </row>
    <row r="53" spans="1:12" ht="21.75" customHeight="1" x14ac:dyDescent="0.3">
      <c r="A53" s="74" t="s">
        <v>241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</row>
    <row r="54" spans="1:12" ht="30" customHeight="1" x14ac:dyDescent="0.3">
      <c r="A54" s="5" t="s">
        <v>9</v>
      </c>
      <c r="B54" s="5" t="s">
        <v>10</v>
      </c>
      <c r="C54" s="5" t="s">
        <v>11</v>
      </c>
      <c r="D54" s="5" t="s">
        <v>12</v>
      </c>
      <c r="E54" s="5" t="s">
        <v>13</v>
      </c>
      <c r="F54" s="5" t="s">
        <v>14</v>
      </c>
      <c r="G54" s="5" t="s">
        <v>15</v>
      </c>
      <c r="H54" s="5" t="s">
        <v>16</v>
      </c>
      <c r="I54" s="5" t="s">
        <v>17</v>
      </c>
      <c r="J54" s="5" t="s">
        <v>18</v>
      </c>
      <c r="K54" s="5" t="s">
        <v>19</v>
      </c>
      <c r="L54" s="5" t="s">
        <v>20</v>
      </c>
    </row>
    <row r="55" spans="1:12" x14ac:dyDescent="0.3">
      <c r="A55" s="6" t="s">
        <v>242</v>
      </c>
      <c r="B55" s="6" t="s">
        <v>243</v>
      </c>
      <c r="C55" s="7" t="s">
        <v>244</v>
      </c>
      <c r="D55" s="6">
        <v>1</v>
      </c>
      <c r="E55" s="6" t="s">
        <v>245</v>
      </c>
      <c r="F55" s="6" t="s">
        <v>246</v>
      </c>
      <c r="G55" s="8">
        <v>1000</v>
      </c>
      <c r="H55" s="9">
        <f>G55*D55</f>
        <v>1000</v>
      </c>
      <c r="I55" s="10" t="s">
        <v>247</v>
      </c>
      <c r="J55" s="10" t="s">
        <v>248</v>
      </c>
      <c r="K55" s="10" t="s">
        <v>249</v>
      </c>
      <c r="L55" s="11"/>
    </row>
    <row r="56" spans="1:12" x14ac:dyDescent="0.3">
      <c r="A56" s="6" t="s">
        <v>250</v>
      </c>
      <c r="B56" s="6" t="s">
        <v>251</v>
      </c>
      <c r="C56" s="7" t="s">
        <v>252</v>
      </c>
      <c r="D56" s="6">
        <v>1</v>
      </c>
      <c r="E56" s="6" t="s">
        <v>253</v>
      </c>
      <c r="F56" s="6" t="s">
        <v>254</v>
      </c>
      <c r="G56" s="8">
        <v>180</v>
      </c>
      <c r="H56" s="9">
        <f>G56*D56</f>
        <v>180</v>
      </c>
      <c r="I56" s="10" t="s">
        <v>255</v>
      </c>
      <c r="J56" s="10" t="s">
        <v>248</v>
      </c>
      <c r="K56" s="10" t="s">
        <v>249</v>
      </c>
      <c r="L56" s="11"/>
    </row>
    <row r="57" spans="1:12" x14ac:dyDescent="0.3">
      <c r="A57" s="6" t="s">
        <v>256</v>
      </c>
      <c r="B57" s="6" t="s">
        <v>257</v>
      </c>
      <c r="C57" s="7" t="s">
        <v>258</v>
      </c>
      <c r="D57" s="6">
        <v>1</v>
      </c>
      <c r="E57" s="6" t="s">
        <v>259</v>
      </c>
      <c r="F57" s="6" t="s">
        <v>260</v>
      </c>
      <c r="G57" s="8">
        <v>600</v>
      </c>
      <c r="H57" s="9">
        <f>G57*D57</f>
        <v>600</v>
      </c>
      <c r="I57" s="10" t="s">
        <v>261</v>
      </c>
      <c r="J57" s="10" t="s">
        <v>248</v>
      </c>
      <c r="K57" s="10" t="s">
        <v>249</v>
      </c>
      <c r="L57" s="11"/>
    </row>
    <row r="58" spans="1:12" x14ac:dyDescent="0.3">
      <c r="A58" s="6" t="s">
        <v>262</v>
      </c>
      <c r="B58" s="6" t="s">
        <v>263</v>
      </c>
      <c r="C58" s="7" t="s">
        <v>264</v>
      </c>
      <c r="D58" s="6">
        <v>1</v>
      </c>
      <c r="E58" s="6" t="s">
        <v>265</v>
      </c>
      <c r="F58" s="6" t="s">
        <v>266</v>
      </c>
      <c r="G58" s="8">
        <v>320</v>
      </c>
      <c r="H58" s="9">
        <f>G58*D58</f>
        <v>320</v>
      </c>
      <c r="I58" s="10" t="s">
        <v>267</v>
      </c>
      <c r="J58" s="10" t="s">
        <v>248</v>
      </c>
      <c r="K58" s="10" t="s">
        <v>249</v>
      </c>
      <c r="L58" s="11"/>
    </row>
    <row r="59" spans="1:12" x14ac:dyDescent="0.3">
      <c r="C59" s="12" t="s">
        <v>268</v>
      </c>
      <c r="H59" s="13">
        <f>SUM(H55:H58)</f>
        <v>2100</v>
      </c>
    </row>
    <row r="61" spans="1:12" ht="21.75" customHeight="1" x14ac:dyDescent="0.3">
      <c r="A61" s="67" t="s">
        <v>269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1:12" ht="30" customHeight="1" x14ac:dyDescent="0.3">
      <c r="A62" s="5" t="s">
        <v>9</v>
      </c>
      <c r="B62" s="5" t="s">
        <v>10</v>
      </c>
      <c r="C62" s="5" t="s">
        <v>11</v>
      </c>
      <c r="D62" s="5" t="s">
        <v>12</v>
      </c>
      <c r="E62" s="5" t="s">
        <v>13</v>
      </c>
      <c r="F62" s="5" t="s">
        <v>14</v>
      </c>
      <c r="G62" s="5" t="s">
        <v>15</v>
      </c>
      <c r="H62" s="5" t="s">
        <v>16</v>
      </c>
      <c r="I62" s="5" t="s">
        <v>17</v>
      </c>
      <c r="J62" s="5" t="s">
        <v>18</v>
      </c>
      <c r="K62" s="5" t="s">
        <v>19</v>
      </c>
      <c r="L62" s="5" t="s">
        <v>20</v>
      </c>
    </row>
    <row r="63" spans="1:12" ht="20.399999999999999" x14ac:dyDescent="0.3">
      <c r="A63" s="6" t="s">
        <v>270</v>
      </c>
      <c r="B63" s="6" t="s">
        <v>271</v>
      </c>
      <c r="C63" s="7" t="s">
        <v>272</v>
      </c>
      <c r="D63" s="6">
        <v>1</v>
      </c>
      <c r="E63" s="6" t="s">
        <v>273</v>
      </c>
      <c r="F63" s="6" t="s">
        <v>274</v>
      </c>
      <c r="G63" s="8">
        <v>48000</v>
      </c>
      <c r="H63" s="9">
        <f>G63*D63</f>
        <v>48000</v>
      </c>
      <c r="I63" s="10" t="s">
        <v>275</v>
      </c>
      <c r="J63" s="10" t="s">
        <v>276</v>
      </c>
      <c r="K63" s="10" t="s">
        <v>277</v>
      </c>
      <c r="L63" s="11" t="s">
        <v>278</v>
      </c>
    </row>
    <row r="64" spans="1:12" ht="20.399999999999999" x14ac:dyDescent="0.3">
      <c r="A64" s="6" t="s">
        <v>279</v>
      </c>
      <c r="B64" s="6" t="s">
        <v>280</v>
      </c>
      <c r="C64" s="7" t="s">
        <v>281</v>
      </c>
      <c r="D64" s="6">
        <v>1</v>
      </c>
      <c r="E64" s="6" t="s">
        <v>282</v>
      </c>
      <c r="F64" s="6" t="s">
        <v>115</v>
      </c>
      <c r="G64" s="8">
        <v>1800</v>
      </c>
      <c r="H64" s="9">
        <f>G64*D64</f>
        <v>1800</v>
      </c>
      <c r="I64" s="10" t="s">
        <v>283</v>
      </c>
      <c r="J64" s="10" t="s">
        <v>276</v>
      </c>
      <c r="K64" s="10" t="s">
        <v>277</v>
      </c>
      <c r="L64" s="11" t="s">
        <v>284</v>
      </c>
    </row>
    <row r="65" spans="1:12" ht="20.399999999999999" x14ac:dyDescent="0.3">
      <c r="A65" s="6" t="s">
        <v>285</v>
      </c>
      <c r="B65" s="6" t="s">
        <v>286</v>
      </c>
      <c r="C65" s="7" t="s">
        <v>287</v>
      </c>
      <c r="D65" s="6">
        <v>1</v>
      </c>
      <c r="E65" s="6" t="s">
        <v>288</v>
      </c>
      <c r="F65" s="6" t="s">
        <v>289</v>
      </c>
      <c r="G65" s="8">
        <v>900</v>
      </c>
      <c r="H65" s="9">
        <f>G65*D65</f>
        <v>900</v>
      </c>
      <c r="I65" s="10" t="s">
        <v>290</v>
      </c>
      <c r="J65" s="10" t="s">
        <v>47</v>
      </c>
      <c r="K65" s="10" t="s">
        <v>277</v>
      </c>
      <c r="L65" s="11" t="s">
        <v>291</v>
      </c>
    </row>
    <row r="66" spans="1:12" ht="20.399999999999999" x14ac:dyDescent="0.3">
      <c r="A66" s="6" t="s">
        <v>292</v>
      </c>
      <c r="B66" s="6" t="s">
        <v>293</v>
      </c>
      <c r="C66" s="7" t="s">
        <v>294</v>
      </c>
      <c r="D66" s="6">
        <v>1</v>
      </c>
      <c r="E66" s="6" t="s">
        <v>156</v>
      </c>
      <c r="F66" s="6" t="s">
        <v>157</v>
      </c>
      <c r="G66" s="8">
        <v>0</v>
      </c>
      <c r="H66" s="9">
        <f>G66*D66</f>
        <v>0</v>
      </c>
      <c r="I66" s="10" t="s">
        <v>295</v>
      </c>
      <c r="J66" s="10" t="s">
        <v>296</v>
      </c>
      <c r="K66" s="10" t="s">
        <v>277</v>
      </c>
      <c r="L66" s="11" t="s">
        <v>278</v>
      </c>
    </row>
    <row r="67" spans="1:12" ht="20.399999999999999" x14ac:dyDescent="0.3">
      <c r="A67" s="6" t="s">
        <v>297</v>
      </c>
      <c r="B67" s="6" t="s">
        <v>298</v>
      </c>
      <c r="C67" s="7" t="s">
        <v>299</v>
      </c>
      <c r="D67" s="6">
        <v>1</v>
      </c>
      <c r="E67" s="6" t="s">
        <v>156</v>
      </c>
      <c r="F67" s="6" t="s">
        <v>157</v>
      </c>
      <c r="G67" s="8">
        <v>0</v>
      </c>
      <c r="H67" s="9">
        <f>G67*D67</f>
        <v>0</v>
      </c>
      <c r="I67" s="10" t="s">
        <v>300</v>
      </c>
      <c r="J67" s="10" t="s">
        <v>301</v>
      </c>
      <c r="K67" s="10" t="s">
        <v>277</v>
      </c>
      <c r="L67" s="11" t="s">
        <v>302</v>
      </c>
    </row>
    <row r="68" spans="1:12" x14ac:dyDescent="0.3">
      <c r="C68" s="12" t="s">
        <v>303</v>
      </c>
      <c r="H68" s="13">
        <f>SUM(H63:H67)</f>
        <v>50700</v>
      </c>
    </row>
    <row r="70" spans="1:12" ht="21.75" customHeight="1" x14ac:dyDescent="0.3">
      <c r="A70" s="68" t="s">
        <v>304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</row>
    <row r="71" spans="1:12" ht="30" customHeight="1" x14ac:dyDescent="0.3">
      <c r="A71" s="5" t="s">
        <v>9</v>
      </c>
      <c r="B71" s="5" t="s">
        <v>10</v>
      </c>
      <c r="C71" s="5" t="s">
        <v>11</v>
      </c>
      <c r="D71" s="5" t="s">
        <v>12</v>
      </c>
      <c r="E71" s="5" t="s">
        <v>13</v>
      </c>
      <c r="F71" s="5" t="s">
        <v>14</v>
      </c>
      <c r="G71" s="5" t="s">
        <v>15</v>
      </c>
      <c r="H71" s="5" t="s">
        <v>16</v>
      </c>
      <c r="I71" s="5" t="s">
        <v>17</v>
      </c>
      <c r="J71" s="5" t="s">
        <v>18</v>
      </c>
      <c r="K71" s="5" t="s">
        <v>19</v>
      </c>
      <c r="L71" s="5" t="s">
        <v>20</v>
      </c>
    </row>
    <row r="72" spans="1:12" ht="24" x14ac:dyDescent="0.3">
      <c r="A72" s="6" t="s">
        <v>305</v>
      </c>
      <c r="B72" s="6" t="s">
        <v>306</v>
      </c>
      <c r="C72" s="7" t="s">
        <v>307</v>
      </c>
      <c r="D72" s="6">
        <v>20</v>
      </c>
      <c r="E72" s="6" t="s">
        <v>308</v>
      </c>
      <c r="F72" s="6" t="s">
        <v>309</v>
      </c>
      <c r="G72" s="8">
        <v>8500</v>
      </c>
      <c r="H72" s="9">
        <f t="shared" ref="H72:H85" si="2">G72*D72</f>
        <v>170000</v>
      </c>
      <c r="I72" s="10" t="s">
        <v>310</v>
      </c>
      <c r="J72" s="10" t="s">
        <v>26</v>
      </c>
      <c r="K72" s="10" t="s">
        <v>160</v>
      </c>
      <c r="L72" s="11" t="s">
        <v>311</v>
      </c>
    </row>
    <row r="73" spans="1:12" ht="20.399999999999999" x14ac:dyDescent="0.3">
      <c r="A73" s="6" t="s">
        <v>312</v>
      </c>
      <c r="B73" s="6" t="s">
        <v>313</v>
      </c>
      <c r="C73" s="7" t="s">
        <v>314</v>
      </c>
      <c r="D73" s="6">
        <v>20</v>
      </c>
      <c r="E73" s="6" t="s">
        <v>315</v>
      </c>
      <c r="F73" s="6" t="s">
        <v>108</v>
      </c>
      <c r="G73" s="8">
        <v>1200</v>
      </c>
      <c r="H73" s="9">
        <f t="shared" si="2"/>
        <v>24000</v>
      </c>
      <c r="I73" s="10" t="s">
        <v>316</v>
      </c>
      <c r="J73" s="10" t="s">
        <v>62</v>
      </c>
      <c r="K73" s="10" t="s">
        <v>160</v>
      </c>
      <c r="L73" s="11" t="s">
        <v>317</v>
      </c>
    </row>
    <row r="74" spans="1:12" ht="24" x14ac:dyDescent="0.3">
      <c r="A74" s="6" t="s">
        <v>318</v>
      </c>
      <c r="B74" s="6" t="s">
        <v>319</v>
      </c>
      <c r="C74" s="7" t="s">
        <v>320</v>
      </c>
      <c r="D74" s="6">
        <v>20</v>
      </c>
      <c r="E74" s="6" t="s">
        <v>259</v>
      </c>
      <c r="F74" s="6" t="s">
        <v>321</v>
      </c>
      <c r="G74" s="8">
        <v>1150</v>
      </c>
      <c r="H74" s="9">
        <f t="shared" si="2"/>
        <v>23000</v>
      </c>
      <c r="I74" s="10" t="s">
        <v>322</v>
      </c>
      <c r="J74" s="10" t="s">
        <v>69</v>
      </c>
      <c r="K74" s="10" t="s">
        <v>160</v>
      </c>
      <c r="L74" s="11" t="s">
        <v>323</v>
      </c>
    </row>
    <row r="75" spans="1:12" ht="20.399999999999999" x14ac:dyDescent="0.3">
      <c r="A75" s="6" t="s">
        <v>324</v>
      </c>
      <c r="B75" s="6" t="s">
        <v>325</v>
      </c>
      <c r="C75" s="7" t="s">
        <v>326</v>
      </c>
      <c r="D75" s="6">
        <v>1</v>
      </c>
      <c r="E75" s="6" t="s">
        <v>327</v>
      </c>
      <c r="F75" s="6" t="s">
        <v>328</v>
      </c>
      <c r="G75" s="8">
        <v>3200</v>
      </c>
      <c r="H75" s="9">
        <f t="shared" si="2"/>
        <v>3200</v>
      </c>
      <c r="I75" s="10" t="s">
        <v>329</v>
      </c>
      <c r="J75" s="10" t="s">
        <v>330</v>
      </c>
      <c r="K75" s="10" t="s">
        <v>160</v>
      </c>
      <c r="L75" s="11" t="s">
        <v>331</v>
      </c>
    </row>
    <row r="76" spans="1:12" ht="24" x14ac:dyDescent="0.3">
      <c r="A76" s="6" t="s">
        <v>332</v>
      </c>
      <c r="B76" s="6" t="s">
        <v>333</v>
      </c>
      <c r="C76" s="7" t="s">
        <v>334</v>
      </c>
      <c r="D76" s="6">
        <v>1</v>
      </c>
      <c r="E76" s="6" t="s">
        <v>335</v>
      </c>
      <c r="F76" s="6" t="s">
        <v>336</v>
      </c>
      <c r="G76" s="8">
        <v>650</v>
      </c>
      <c r="H76" s="9">
        <f t="shared" si="2"/>
        <v>650</v>
      </c>
      <c r="I76" s="10" t="s">
        <v>337</v>
      </c>
      <c r="J76" s="10" t="s">
        <v>330</v>
      </c>
      <c r="K76" s="10" t="s">
        <v>160</v>
      </c>
      <c r="L76" s="11" t="s">
        <v>338</v>
      </c>
    </row>
    <row r="77" spans="1:12" ht="24" x14ac:dyDescent="0.3">
      <c r="A77" s="6" t="s">
        <v>339</v>
      </c>
      <c r="B77" s="6" t="s">
        <v>340</v>
      </c>
      <c r="C77" s="7" t="s">
        <v>341</v>
      </c>
      <c r="D77" s="6">
        <v>1</v>
      </c>
      <c r="E77" s="6" t="s">
        <v>156</v>
      </c>
      <c r="F77" s="6" t="s">
        <v>157</v>
      </c>
      <c r="G77" s="8">
        <v>0</v>
      </c>
      <c r="H77" s="9">
        <f t="shared" si="2"/>
        <v>0</v>
      </c>
      <c r="I77" s="10" t="s">
        <v>342</v>
      </c>
      <c r="J77" s="10" t="s">
        <v>343</v>
      </c>
      <c r="K77" s="10" t="s">
        <v>160</v>
      </c>
      <c r="L77" s="11" t="s">
        <v>344</v>
      </c>
    </row>
    <row r="78" spans="1:12" ht="24" x14ac:dyDescent="0.3">
      <c r="A78" s="6" t="s">
        <v>345</v>
      </c>
      <c r="B78" s="6" t="s">
        <v>346</v>
      </c>
      <c r="C78" s="7" t="s">
        <v>347</v>
      </c>
      <c r="D78" s="6">
        <v>1</v>
      </c>
      <c r="E78" s="6" t="s">
        <v>348</v>
      </c>
      <c r="F78" s="6" t="s">
        <v>349</v>
      </c>
      <c r="G78" s="8">
        <v>4800</v>
      </c>
      <c r="H78" s="9">
        <f t="shared" si="2"/>
        <v>4800</v>
      </c>
      <c r="I78" s="10" t="s">
        <v>350</v>
      </c>
      <c r="J78" s="10" t="s">
        <v>351</v>
      </c>
      <c r="K78" s="10" t="s">
        <v>160</v>
      </c>
      <c r="L78" s="11" t="s">
        <v>352</v>
      </c>
    </row>
    <row r="79" spans="1:12" ht="20.399999999999999" x14ac:dyDescent="0.3">
      <c r="A79" s="6" t="s">
        <v>353</v>
      </c>
      <c r="B79" s="6" t="s">
        <v>354</v>
      </c>
      <c r="C79" s="7" t="s">
        <v>355</v>
      </c>
      <c r="D79" s="6">
        <v>1</v>
      </c>
      <c r="E79" s="6" t="s">
        <v>356</v>
      </c>
      <c r="F79" s="6" t="s">
        <v>157</v>
      </c>
      <c r="G79" s="8">
        <v>0</v>
      </c>
      <c r="H79" s="9">
        <f t="shared" si="2"/>
        <v>0</v>
      </c>
      <c r="I79" s="10" t="s">
        <v>357</v>
      </c>
      <c r="J79" s="10" t="s">
        <v>358</v>
      </c>
      <c r="K79" s="10" t="s">
        <v>160</v>
      </c>
      <c r="L79" s="11" t="s">
        <v>359</v>
      </c>
    </row>
    <row r="80" spans="1:12" ht="20.399999999999999" x14ac:dyDescent="0.3">
      <c r="A80" s="6" t="s">
        <v>360</v>
      </c>
      <c r="B80" s="6" t="s">
        <v>361</v>
      </c>
      <c r="C80" s="7" t="s">
        <v>362</v>
      </c>
      <c r="D80" s="6">
        <v>1</v>
      </c>
      <c r="E80" s="6" t="s">
        <v>363</v>
      </c>
      <c r="F80" s="6" t="s">
        <v>364</v>
      </c>
      <c r="G80" s="8">
        <v>6500</v>
      </c>
      <c r="H80" s="9">
        <f t="shared" si="2"/>
        <v>6500</v>
      </c>
      <c r="I80" s="10" t="s">
        <v>365</v>
      </c>
      <c r="J80" s="10" t="s">
        <v>366</v>
      </c>
      <c r="K80" s="10" t="s">
        <v>160</v>
      </c>
      <c r="L80" s="11" t="s">
        <v>367</v>
      </c>
    </row>
    <row r="81" spans="1:12" ht="20.399999999999999" x14ac:dyDescent="0.3">
      <c r="A81" s="6" t="s">
        <v>368</v>
      </c>
      <c r="B81" s="6" t="s">
        <v>369</v>
      </c>
      <c r="C81" s="7" t="s">
        <v>370</v>
      </c>
      <c r="D81" s="6">
        <v>20</v>
      </c>
      <c r="E81" s="6" t="s">
        <v>371</v>
      </c>
      <c r="F81" s="6" t="s">
        <v>372</v>
      </c>
      <c r="G81" s="8">
        <v>950</v>
      </c>
      <c r="H81" s="9">
        <f t="shared" si="2"/>
        <v>19000</v>
      </c>
      <c r="I81" s="10" t="s">
        <v>373</v>
      </c>
      <c r="J81" s="10" t="s">
        <v>366</v>
      </c>
      <c r="K81" s="10" t="s">
        <v>160</v>
      </c>
      <c r="L81" s="11" t="s">
        <v>374</v>
      </c>
    </row>
    <row r="82" spans="1:12" ht="20.399999999999999" x14ac:dyDescent="0.3">
      <c r="A82" s="6" t="s">
        <v>375</v>
      </c>
      <c r="B82" s="6" t="s">
        <v>376</v>
      </c>
      <c r="C82" s="7" t="s">
        <v>377</v>
      </c>
      <c r="D82" s="6">
        <v>1</v>
      </c>
      <c r="E82" s="6" t="s">
        <v>378</v>
      </c>
      <c r="F82" s="6" t="s">
        <v>379</v>
      </c>
      <c r="G82" s="8">
        <v>4098</v>
      </c>
      <c r="H82" s="9">
        <f t="shared" si="2"/>
        <v>4098</v>
      </c>
      <c r="I82" s="10" t="s">
        <v>380</v>
      </c>
      <c r="J82" s="10" t="s">
        <v>47</v>
      </c>
      <c r="K82" s="10" t="s">
        <v>160</v>
      </c>
      <c r="L82" s="11" t="s">
        <v>381</v>
      </c>
    </row>
    <row r="83" spans="1:12" ht="20.399999999999999" x14ac:dyDescent="0.3">
      <c r="A83" s="6" t="s">
        <v>382</v>
      </c>
      <c r="B83" s="6" t="s">
        <v>383</v>
      </c>
      <c r="C83" s="7" t="s">
        <v>384</v>
      </c>
      <c r="D83" s="6">
        <v>1</v>
      </c>
      <c r="E83" s="6" t="s">
        <v>385</v>
      </c>
      <c r="F83" s="6" t="s">
        <v>386</v>
      </c>
      <c r="G83" s="8">
        <v>18500</v>
      </c>
      <c r="H83" s="9">
        <f t="shared" si="2"/>
        <v>18500</v>
      </c>
      <c r="I83" s="10" t="s">
        <v>387</v>
      </c>
      <c r="J83" s="10" t="s">
        <v>330</v>
      </c>
      <c r="K83" s="10" t="s">
        <v>160</v>
      </c>
      <c r="L83" s="11" t="s">
        <v>388</v>
      </c>
    </row>
    <row r="84" spans="1:12" x14ac:dyDescent="0.3">
      <c r="A84" s="6" t="s">
        <v>389</v>
      </c>
      <c r="B84" s="6" t="s">
        <v>390</v>
      </c>
      <c r="C84" s="7" t="s">
        <v>391</v>
      </c>
      <c r="D84" s="6">
        <v>1</v>
      </c>
      <c r="E84" s="6" t="s">
        <v>392</v>
      </c>
      <c r="F84" s="6" t="s">
        <v>393</v>
      </c>
      <c r="G84" s="8">
        <v>350</v>
      </c>
      <c r="H84" s="9">
        <f t="shared" si="2"/>
        <v>350</v>
      </c>
      <c r="I84" s="10" t="s">
        <v>394</v>
      </c>
      <c r="J84" s="10" t="s">
        <v>395</v>
      </c>
      <c r="K84" s="10" t="s">
        <v>249</v>
      </c>
      <c r="L84" s="11"/>
    </row>
    <row r="85" spans="1:12" x14ac:dyDescent="0.3">
      <c r="A85" s="6" t="s">
        <v>396</v>
      </c>
      <c r="B85" s="6" t="s">
        <v>397</v>
      </c>
      <c r="C85" s="7" t="s">
        <v>398</v>
      </c>
      <c r="D85" s="6">
        <v>3</v>
      </c>
      <c r="E85" s="6" t="s">
        <v>399</v>
      </c>
      <c r="F85" s="6" t="s">
        <v>400</v>
      </c>
      <c r="G85" s="8">
        <v>150</v>
      </c>
      <c r="H85" s="9">
        <f t="shared" si="2"/>
        <v>450</v>
      </c>
      <c r="I85" s="10" t="s">
        <v>401</v>
      </c>
      <c r="J85" s="10" t="s">
        <v>395</v>
      </c>
      <c r="K85" s="10" t="s">
        <v>27</v>
      </c>
      <c r="L85" s="11"/>
    </row>
    <row r="86" spans="1:12" x14ac:dyDescent="0.3">
      <c r="C86" s="12" t="s">
        <v>402</v>
      </c>
      <c r="H86" s="13">
        <f>SUM(H72:H85)</f>
        <v>274548</v>
      </c>
    </row>
    <row r="88" spans="1:12" ht="21.75" customHeight="1" x14ac:dyDescent="0.3">
      <c r="A88" s="69" t="s">
        <v>403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</row>
  </sheetData>
  <mergeCells count="8">
    <mergeCell ref="A61:L61"/>
    <mergeCell ref="A70:L70"/>
    <mergeCell ref="A88:L88"/>
    <mergeCell ref="A1:L1"/>
    <mergeCell ref="A2:L2"/>
    <mergeCell ref="A11:L11"/>
    <mergeCell ref="A36:L36"/>
    <mergeCell ref="A53:L5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22"/>
  <sheetViews>
    <sheetView zoomScaleNormal="100" workbookViewId="0">
      <selection activeCell="B41" sqref="B41"/>
    </sheetView>
  </sheetViews>
  <sheetFormatPr defaultColWidth="8.6640625" defaultRowHeight="14.4" x14ac:dyDescent="0.3"/>
  <cols>
    <col min="2" max="2" width="45.21875" customWidth="1"/>
    <col min="3" max="3" width="50" customWidth="1"/>
    <col min="4" max="4" width="18" customWidth="1"/>
    <col min="5" max="5" width="45" customWidth="1"/>
  </cols>
  <sheetData>
    <row r="3" spans="2:5" ht="68.25" customHeight="1" x14ac:dyDescent="0.3">
      <c r="B3" s="14" t="s">
        <v>404</v>
      </c>
      <c r="C3" s="15"/>
      <c r="D3" s="15"/>
      <c r="E3" s="15"/>
    </row>
    <row r="4" spans="2:5" ht="31.5" customHeight="1" x14ac:dyDescent="0.3">
      <c r="B4" s="16" t="s">
        <v>405</v>
      </c>
      <c r="C4" s="15"/>
      <c r="D4" s="15"/>
      <c r="E4" s="15"/>
    </row>
    <row r="5" spans="2:5" x14ac:dyDescent="0.3">
      <c r="B5" s="15"/>
      <c r="C5" s="15"/>
      <c r="D5" s="15"/>
      <c r="E5" s="15"/>
    </row>
    <row r="6" spans="2:5" ht="15" customHeight="1" x14ac:dyDescent="0.3">
      <c r="B6" s="17" t="s">
        <v>406</v>
      </c>
      <c r="C6" s="17" t="s">
        <v>407</v>
      </c>
      <c r="D6" s="17" t="s">
        <v>19</v>
      </c>
      <c r="E6" s="17" t="s">
        <v>408</v>
      </c>
    </row>
    <row r="7" spans="2:5" ht="39.75" customHeight="1" x14ac:dyDescent="0.3">
      <c r="B7" s="18" t="s">
        <v>42</v>
      </c>
      <c r="C7" s="18" t="s">
        <v>409</v>
      </c>
      <c r="D7" s="18" t="s">
        <v>27</v>
      </c>
      <c r="E7" s="18" t="s">
        <v>410</v>
      </c>
    </row>
    <row r="8" spans="2:5" ht="39.75" customHeight="1" x14ac:dyDescent="0.3">
      <c r="B8" s="18" t="s">
        <v>411</v>
      </c>
      <c r="C8" s="18" t="s">
        <v>412</v>
      </c>
      <c r="D8" s="18" t="s">
        <v>27</v>
      </c>
      <c r="E8" s="18" t="s">
        <v>413</v>
      </c>
    </row>
    <row r="9" spans="2:5" ht="39.75" customHeight="1" x14ac:dyDescent="0.3">
      <c r="B9" s="18" t="s">
        <v>414</v>
      </c>
      <c r="C9" s="18" t="s">
        <v>415</v>
      </c>
      <c r="D9" s="18" t="s">
        <v>27</v>
      </c>
      <c r="E9" s="18" t="s">
        <v>416</v>
      </c>
    </row>
    <row r="10" spans="2:5" ht="39.75" customHeight="1" x14ac:dyDescent="0.3">
      <c r="B10" s="18" t="s">
        <v>417</v>
      </c>
      <c r="C10" s="18" t="s">
        <v>418</v>
      </c>
      <c r="D10" s="18" t="s">
        <v>27</v>
      </c>
      <c r="E10" s="18" t="s">
        <v>419</v>
      </c>
    </row>
    <row r="11" spans="2:5" ht="39.75" customHeight="1" x14ac:dyDescent="0.3">
      <c r="B11" s="18" t="s">
        <v>420</v>
      </c>
      <c r="C11" s="18" t="s">
        <v>421</v>
      </c>
      <c r="D11" s="18" t="s">
        <v>27</v>
      </c>
      <c r="E11" s="18" t="s">
        <v>422</v>
      </c>
    </row>
    <row r="12" spans="2:5" ht="39.75" customHeight="1" x14ac:dyDescent="0.3">
      <c r="B12" s="18" t="s">
        <v>423</v>
      </c>
      <c r="C12" s="18" t="s">
        <v>424</v>
      </c>
      <c r="D12" s="18" t="s">
        <v>27</v>
      </c>
      <c r="E12" s="18" t="s">
        <v>425</v>
      </c>
    </row>
    <row r="13" spans="2:5" ht="39.75" customHeight="1" x14ac:dyDescent="0.3">
      <c r="B13" s="18" t="s">
        <v>426</v>
      </c>
      <c r="C13" s="18" t="s">
        <v>427</v>
      </c>
      <c r="D13" s="18" t="s">
        <v>27</v>
      </c>
      <c r="E13" s="18" t="s">
        <v>428</v>
      </c>
    </row>
    <row r="14" spans="2:5" ht="39.75" customHeight="1" x14ac:dyDescent="0.3">
      <c r="B14" s="18" t="s">
        <v>429</v>
      </c>
      <c r="C14" s="18" t="s">
        <v>430</v>
      </c>
      <c r="D14" s="18" t="s">
        <v>27</v>
      </c>
      <c r="E14" s="18" t="s">
        <v>431</v>
      </c>
    </row>
    <row r="15" spans="2:5" ht="39.75" customHeight="1" x14ac:dyDescent="0.3">
      <c r="B15" s="18" t="s">
        <v>202</v>
      </c>
      <c r="C15" s="18" t="s">
        <v>432</v>
      </c>
      <c r="D15" s="18" t="s">
        <v>27</v>
      </c>
      <c r="E15" s="18" t="s">
        <v>433</v>
      </c>
    </row>
    <row r="16" spans="2:5" ht="39.75" customHeight="1" x14ac:dyDescent="0.3">
      <c r="B16" s="19" t="s">
        <v>434</v>
      </c>
      <c r="C16" s="19" t="s">
        <v>435</v>
      </c>
      <c r="D16" s="19" t="s">
        <v>436</v>
      </c>
      <c r="E16" s="19" t="s">
        <v>437</v>
      </c>
    </row>
    <row r="17" spans="2:5" ht="39.75" customHeight="1" x14ac:dyDescent="0.3">
      <c r="B17" s="20" t="s">
        <v>438</v>
      </c>
      <c r="C17" s="20" t="s">
        <v>439</v>
      </c>
      <c r="D17" s="20" t="s">
        <v>440</v>
      </c>
      <c r="E17" s="20" t="s">
        <v>441</v>
      </c>
    </row>
    <row r="18" spans="2:5" ht="39.75" customHeight="1" x14ac:dyDescent="0.3">
      <c r="B18" s="18" t="s">
        <v>442</v>
      </c>
      <c r="C18" s="18" t="s">
        <v>443</v>
      </c>
      <c r="D18" s="18" t="s">
        <v>27</v>
      </c>
      <c r="E18" s="18" t="s">
        <v>444</v>
      </c>
    </row>
    <row r="19" spans="2:5" x14ac:dyDescent="0.3">
      <c r="B19" s="15"/>
      <c r="C19" s="15"/>
      <c r="D19" s="15"/>
      <c r="E19" s="15"/>
    </row>
    <row r="20" spans="2:5" x14ac:dyDescent="0.3">
      <c r="B20" s="15"/>
      <c r="C20" s="15"/>
      <c r="D20" s="15"/>
      <c r="E20" s="15"/>
    </row>
    <row r="21" spans="2:5" ht="15" customHeight="1" x14ac:dyDescent="0.3">
      <c r="B21" s="21" t="s">
        <v>445</v>
      </c>
      <c r="C21" s="22" t="s">
        <v>446</v>
      </c>
      <c r="D21" s="15"/>
      <c r="E21" s="15"/>
    </row>
    <row r="22" spans="2:5" ht="15" customHeight="1" x14ac:dyDescent="0.3">
      <c r="B22" s="21" t="s">
        <v>447</v>
      </c>
      <c r="C22" s="22" t="s">
        <v>448</v>
      </c>
      <c r="D22" s="15"/>
      <c r="E22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2" width="26" customWidth="1"/>
    <col min="3" max="3" width="18" customWidth="1"/>
    <col min="4" max="4" width="36" customWidth="1"/>
    <col min="5" max="7" width="22" customWidth="1"/>
    <col min="8" max="8" width="12" customWidth="1"/>
  </cols>
  <sheetData>
    <row r="1" spans="1:8" ht="30" customHeight="1" x14ac:dyDescent="0.3">
      <c r="A1" s="75" t="s">
        <v>449</v>
      </c>
      <c r="B1" s="75"/>
      <c r="C1" s="75"/>
      <c r="D1" s="75"/>
      <c r="E1" s="75"/>
      <c r="F1" s="75"/>
      <c r="G1" s="75"/>
      <c r="H1" s="75"/>
    </row>
    <row r="2" spans="1:8" ht="14.25" customHeight="1" x14ac:dyDescent="0.3">
      <c r="A2" s="76" t="s">
        <v>450</v>
      </c>
      <c r="B2" s="76"/>
      <c r="C2" s="76"/>
      <c r="D2" s="76"/>
      <c r="E2" s="76"/>
      <c r="F2" s="76"/>
      <c r="G2" s="76"/>
      <c r="H2" s="76"/>
    </row>
    <row r="3" spans="1:8" ht="27.75" customHeight="1" x14ac:dyDescent="0.3">
      <c r="A3" s="23" t="s">
        <v>451</v>
      </c>
      <c r="B3" s="23" t="s">
        <v>452</v>
      </c>
      <c r="C3" s="23" t="s">
        <v>453</v>
      </c>
      <c r="D3" s="23" t="s">
        <v>408</v>
      </c>
      <c r="E3" s="23" t="s">
        <v>454</v>
      </c>
      <c r="F3" s="23" t="s">
        <v>455</v>
      </c>
      <c r="G3" s="23" t="s">
        <v>456</v>
      </c>
      <c r="H3" s="23" t="s">
        <v>19</v>
      </c>
    </row>
    <row r="4" spans="1:8" ht="36" customHeight="1" x14ac:dyDescent="0.3">
      <c r="A4" s="24" t="s">
        <v>264</v>
      </c>
      <c r="B4" s="25" t="s">
        <v>457</v>
      </c>
      <c r="C4" s="25" t="s">
        <v>458</v>
      </c>
      <c r="D4" s="26" t="s">
        <v>459</v>
      </c>
      <c r="E4" s="26" t="s">
        <v>460</v>
      </c>
      <c r="F4" s="26" t="s">
        <v>461</v>
      </c>
      <c r="G4" s="26" t="s">
        <v>462</v>
      </c>
      <c r="H4" s="25" t="s">
        <v>249</v>
      </c>
    </row>
    <row r="5" spans="1:8" ht="36" customHeight="1" x14ac:dyDescent="0.3">
      <c r="A5" s="27" t="s">
        <v>463</v>
      </c>
      <c r="B5" s="28" t="s">
        <v>464</v>
      </c>
      <c r="C5" s="28" t="s">
        <v>465</v>
      </c>
      <c r="D5" s="29" t="s">
        <v>466</v>
      </c>
      <c r="E5" s="29" t="s">
        <v>467</v>
      </c>
      <c r="F5" s="29" t="s">
        <v>468</v>
      </c>
      <c r="G5" s="29" t="s">
        <v>469</v>
      </c>
      <c r="H5" s="28" t="s">
        <v>249</v>
      </c>
    </row>
    <row r="6" spans="1:8" ht="36" customHeight="1" x14ac:dyDescent="0.3">
      <c r="A6" s="24" t="s">
        <v>470</v>
      </c>
      <c r="B6" s="25" t="s">
        <v>471</v>
      </c>
      <c r="C6" s="25" t="s">
        <v>472</v>
      </c>
      <c r="D6" s="26" t="s">
        <v>473</v>
      </c>
      <c r="E6" s="26" t="s">
        <v>474</v>
      </c>
      <c r="F6" s="26" t="s">
        <v>475</v>
      </c>
      <c r="G6" s="26" t="s">
        <v>476</v>
      </c>
      <c r="H6" s="25" t="s">
        <v>249</v>
      </c>
    </row>
    <row r="7" spans="1:8" ht="36" customHeight="1" x14ac:dyDescent="0.3">
      <c r="A7" s="27" t="s">
        <v>477</v>
      </c>
      <c r="B7" s="28" t="s">
        <v>478</v>
      </c>
      <c r="C7" s="28" t="s">
        <v>479</v>
      </c>
      <c r="D7" s="29" t="s">
        <v>480</v>
      </c>
      <c r="E7" s="29" t="s">
        <v>481</v>
      </c>
      <c r="F7" s="29" t="s">
        <v>482</v>
      </c>
      <c r="G7" s="29" t="s">
        <v>483</v>
      </c>
      <c r="H7" s="28" t="s">
        <v>249</v>
      </c>
    </row>
    <row r="8" spans="1:8" ht="36" customHeight="1" x14ac:dyDescent="0.3">
      <c r="A8" s="24" t="s">
        <v>244</v>
      </c>
      <c r="B8" s="25" t="s">
        <v>484</v>
      </c>
      <c r="C8" s="25" t="s">
        <v>485</v>
      </c>
      <c r="D8" s="26" t="s">
        <v>486</v>
      </c>
      <c r="E8" s="26" t="s">
        <v>487</v>
      </c>
      <c r="F8" s="26" t="s">
        <v>488</v>
      </c>
      <c r="G8" s="26" t="s">
        <v>489</v>
      </c>
      <c r="H8" s="25" t="s">
        <v>249</v>
      </c>
    </row>
    <row r="9" spans="1:8" ht="36" customHeight="1" x14ac:dyDescent="0.3">
      <c r="A9" s="27" t="s">
        <v>490</v>
      </c>
      <c r="B9" s="28" t="s">
        <v>491</v>
      </c>
      <c r="C9" s="28" t="s">
        <v>492</v>
      </c>
      <c r="D9" s="29" t="s">
        <v>493</v>
      </c>
      <c r="E9" s="29" t="s">
        <v>494</v>
      </c>
      <c r="F9" s="29" t="s">
        <v>495</v>
      </c>
      <c r="G9" s="29" t="s">
        <v>496</v>
      </c>
      <c r="H9" s="28" t="s">
        <v>27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8" customWidth="1"/>
    <col min="2" max="2" width="24" customWidth="1"/>
    <col min="3" max="3" width="30" customWidth="1"/>
    <col min="4" max="5" width="14" customWidth="1"/>
    <col min="6" max="6" width="12" customWidth="1"/>
    <col min="7" max="7" width="36" customWidth="1"/>
  </cols>
  <sheetData>
    <row r="1" spans="1:7" ht="27.75" customHeight="1" x14ac:dyDescent="0.3">
      <c r="A1" s="77" t="s">
        <v>497</v>
      </c>
      <c r="B1" s="77"/>
      <c r="C1" s="77"/>
      <c r="D1" s="77"/>
      <c r="E1" s="77"/>
      <c r="F1" s="77"/>
      <c r="G1" s="77"/>
    </row>
    <row r="2" spans="1:7" ht="21.75" customHeight="1" x14ac:dyDescent="0.3">
      <c r="A2" s="30" t="s">
        <v>498</v>
      </c>
      <c r="B2" s="30" t="s">
        <v>499</v>
      </c>
      <c r="C2" s="30" t="s">
        <v>500</v>
      </c>
      <c r="D2" s="30" t="s">
        <v>501</v>
      </c>
      <c r="E2" s="30" t="s">
        <v>502</v>
      </c>
      <c r="F2" s="30" t="s">
        <v>503</v>
      </c>
      <c r="G2" s="30" t="s">
        <v>408</v>
      </c>
    </row>
    <row r="3" spans="1:7" ht="30" customHeight="1" x14ac:dyDescent="0.3">
      <c r="A3" s="31" t="s">
        <v>504</v>
      </c>
      <c r="B3" s="32" t="s">
        <v>505</v>
      </c>
      <c r="C3" s="32" t="s">
        <v>506</v>
      </c>
      <c r="D3" s="33" t="s">
        <v>507</v>
      </c>
      <c r="E3" s="34" t="s">
        <v>508</v>
      </c>
      <c r="F3" s="35" t="s">
        <v>509</v>
      </c>
      <c r="G3" s="32" t="s">
        <v>510</v>
      </c>
    </row>
    <row r="4" spans="1:7" ht="30" customHeight="1" x14ac:dyDescent="0.3">
      <c r="A4" s="36" t="s">
        <v>511</v>
      </c>
      <c r="B4" s="37" t="s">
        <v>512</v>
      </c>
      <c r="C4" s="37" t="s">
        <v>513</v>
      </c>
      <c r="D4" s="38" t="s">
        <v>514</v>
      </c>
      <c r="E4" s="39" t="s">
        <v>515</v>
      </c>
      <c r="F4" s="40" t="s">
        <v>509</v>
      </c>
      <c r="G4" s="37" t="s">
        <v>516</v>
      </c>
    </row>
    <row r="5" spans="1:7" ht="30" customHeight="1" x14ac:dyDescent="0.3">
      <c r="A5" s="31" t="s">
        <v>517</v>
      </c>
      <c r="B5" s="32" t="s">
        <v>518</v>
      </c>
      <c r="C5" s="32" t="s">
        <v>519</v>
      </c>
      <c r="D5" s="33" t="s">
        <v>520</v>
      </c>
      <c r="E5" s="34" t="s">
        <v>521</v>
      </c>
      <c r="F5" s="35" t="s">
        <v>522</v>
      </c>
      <c r="G5" s="32" t="s">
        <v>523</v>
      </c>
    </row>
    <row r="6" spans="1:7" ht="30" customHeight="1" x14ac:dyDescent="0.3">
      <c r="A6" s="41" t="s">
        <v>524</v>
      </c>
      <c r="B6" s="42" t="s">
        <v>525</v>
      </c>
      <c r="C6" s="42" t="s">
        <v>526</v>
      </c>
      <c r="D6" s="43" t="s">
        <v>527</v>
      </c>
      <c r="E6" s="44" t="s">
        <v>392</v>
      </c>
      <c r="F6" s="45" t="s">
        <v>528</v>
      </c>
      <c r="G6" s="42" t="s">
        <v>529</v>
      </c>
    </row>
    <row r="7" spans="1:7" ht="30" customHeight="1" x14ac:dyDescent="0.3">
      <c r="A7" s="46" t="s">
        <v>530</v>
      </c>
      <c r="B7" s="47" t="s">
        <v>531</v>
      </c>
      <c r="C7" s="47" t="s">
        <v>532</v>
      </c>
      <c r="D7" s="48" t="s">
        <v>157</v>
      </c>
      <c r="E7" s="49" t="s">
        <v>533</v>
      </c>
      <c r="F7" s="50" t="s">
        <v>392</v>
      </c>
      <c r="G7" s="47" t="s">
        <v>534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showGridLines="0" topLeftCell="A12" zoomScaleNormal="100" workbookViewId="0">
      <selection sqref="A1:F1"/>
    </sheetView>
  </sheetViews>
  <sheetFormatPr defaultColWidth="8.6640625" defaultRowHeight="14.4" x14ac:dyDescent="0.3"/>
  <cols>
    <col min="1" max="1" width="6" customWidth="1"/>
    <col min="2" max="2" width="14" customWidth="1"/>
    <col min="3" max="3" width="24" customWidth="1"/>
    <col min="4" max="4" width="44" customWidth="1"/>
    <col min="5" max="5" width="16" customWidth="1"/>
    <col min="6" max="6" width="10" customWidth="1"/>
  </cols>
  <sheetData>
    <row r="1" spans="1:6" ht="27.75" customHeight="1" x14ac:dyDescent="0.3">
      <c r="A1" s="78" t="s">
        <v>535</v>
      </c>
      <c r="B1" s="78"/>
      <c r="C1" s="78"/>
      <c r="D1" s="78"/>
      <c r="E1" s="78"/>
      <c r="F1" s="78"/>
    </row>
    <row r="2" spans="1:6" ht="14.25" customHeight="1" x14ac:dyDescent="0.3">
      <c r="A2" s="51" t="s">
        <v>536</v>
      </c>
      <c r="B2" s="51" t="s">
        <v>537</v>
      </c>
      <c r="C2" s="51" t="s">
        <v>538</v>
      </c>
      <c r="D2" s="51" t="s">
        <v>539</v>
      </c>
      <c r="E2" s="51" t="s">
        <v>199</v>
      </c>
      <c r="F2" s="51" t="s">
        <v>19</v>
      </c>
    </row>
    <row r="3" spans="1:6" ht="27.75" customHeight="1" x14ac:dyDescent="0.3">
      <c r="A3" s="52" t="s">
        <v>540</v>
      </c>
      <c r="B3" s="52" t="s">
        <v>541</v>
      </c>
      <c r="C3" s="53" t="s">
        <v>542</v>
      </c>
      <c r="D3" s="54" t="s">
        <v>543</v>
      </c>
      <c r="E3" s="53" t="s">
        <v>544</v>
      </c>
      <c r="F3" s="53" t="s">
        <v>545</v>
      </c>
    </row>
    <row r="4" spans="1:6" ht="27.75" customHeight="1" x14ac:dyDescent="0.3">
      <c r="A4" s="55" t="s">
        <v>546</v>
      </c>
      <c r="B4" s="55" t="s">
        <v>547</v>
      </c>
      <c r="C4" s="56" t="s">
        <v>548</v>
      </c>
      <c r="D4" s="57" t="s">
        <v>549</v>
      </c>
      <c r="E4" s="56" t="s">
        <v>550</v>
      </c>
      <c r="F4" s="56" t="s">
        <v>545</v>
      </c>
    </row>
    <row r="5" spans="1:6" ht="27.75" customHeight="1" x14ac:dyDescent="0.3">
      <c r="A5" s="52" t="s">
        <v>87</v>
      </c>
      <c r="B5" s="52" t="s">
        <v>551</v>
      </c>
      <c r="C5" s="53" t="s">
        <v>552</v>
      </c>
      <c r="D5" s="54" t="s">
        <v>553</v>
      </c>
      <c r="E5" s="53" t="s">
        <v>554</v>
      </c>
      <c r="F5" s="53" t="s">
        <v>545</v>
      </c>
    </row>
    <row r="6" spans="1:6" ht="27.75" customHeight="1" x14ac:dyDescent="0.3">
      <c r="A6" s="55" t="s">
        <v>555</v>
      </c>
      <c r="B6" s="55" t="s">
        <v>556</v>
      </c>
      <c r="C6" s="56" t="s">
        <v>557</v>
      </c>
      <c r="D6" s="57" t="s">
        <v>558</v>
      </c>
      <c r="E6" s="56" t="s">
        <v>559</v>
      </c>
      <c r="F6" s="56" t="s">
        <v>545</v>
      </c>
    </row>
    <row r="7" spans="1:6" ht="27.75" customHeight="1" x14ac:dyDescent="0.3">
      <c r="A7" s="52" t="s">
        <v>560</v>
      </c>
      <c r="B7" s="52" t="s">
        <v>561</v>
      </c>
      <c r="C7" s="53" t="s">
        <v>562</v>
      </c>
      <c r="D7" s="54" t="s">
        <v>563</v>
      </c>
      <c r="E7" s="53" t="s">
        <v>559</v>
      </c>
      <c r="F7" s="53" t="s">
        <v>545</v>
      </c>
    </row>
    <row r="8" spans="1:6" ht="27.75" customHeight="1" x14ac:dyDescent="0.3">
      <c r="A8" s="55" t="s">
        <v>151</v>
      </c>
      <c r="B8" s="55" t="s">
        <v>564</v>
      </c>
      <c r="C8" s="56" t="s">
        <v>565</v>
      </c>
      <c r="D8" s="57" t="s">
        <v>566</v>
      </c>
      <c r="E8" s="56" t="s">
        <v>559</v>
      </c>
      <c r="F8" s="56" t="s">
        <v>545</v>
      </c>
    </row>
    <row r="9" spans="1:6" ht="27.75" customHeight="1" x14ac:dyDescent="0.3">
      <c r="A9" s="52" t="s">
        <v>567</v>
      </c>
      <c r="B9" s="52" t="s">
        <v>568</v>
      </c>
      <c r="C9" s="53" t="s">
        <v>569</v>
      </c>
      <c r="D9" s="54" t="s">
        <v>570</v>
      </c>
      <c r="E9" s="53" t="s">
        <v>554</v>
      </c>
      <c r="F9" s="53" t="s">
        <v>545</v>
      </c>
    </row>
    <row r="10" spans="1:6" ht="27.75" customHeight="1" x14ac:dyDescent="0.3">
      <c r="A10" s="55" t="s">
        <v>571</v>
      </c>
      <c r="B10" s="55" t="s">
        <v>572</v>
      </c>
      <c r="C10" s="56" t="s">
        <v>573</v>
      </c>
      <c r="D10" s="57" t="s">
        <v>574</v>
      </c>
      <c r="E10" s="56" t="s">
        <v>559</v>
      </c>
      <c r="F10" s="56" t="s">
        <v>545</v>
      </c>
    </row>
    <row r="11" spans="1:6" ht="27.75" customHeight="1" x14ac:dyDescent="0.3">
      <c r="A11" s="52" t="s">
        <v>575</v>
      </c>
      <c r="B11" s="52" t="s">
        <v>576</v>
      </c>
      <c r="C11" s="53" t="s">
        <v>577</v>
      </c>
      <c r="D11" s="54" t="s">
        <v>578</v>
      </c>
      <c r="E11" s="53" t="s">
        <v>559</v>
      </c>
      <c r="F11" s="53" t="s">
        <v>545</v>
      </c>
    </row>
    <row r="12" spans="1:6" ht="27.75" customHeight="1" x14ac:dyDescent="0.3">
      <c r="A12" s="55" t="s">
        <v>127</v>
      </c>
      <c r="B12" s="55" t="s">
        <v>579</v>
      </c>
      <c r="C12" s="56" t="s">
        <v>580</v>
      </c>
      <c r="D12" s="57" t="s">
        <v>581</v>
      </c>
      <c r="E12" s="56" t="s">
        <v>582</v>
      </c>
      <c r="F12" s="56" t="s">
        <v>545</v>
      </c>
    </row>
    <row r="13" spans="1:6" ht="27.75" customHeight="1" x14ac:dyDescent="0.3">
      <c r="A13" s="52" t="s">
        <v>583</v>
      </c>
      <c r="B13" s="52" t="s">
        <v>584</v>
      </c>
      <c r="C13" s="53" t="s">
        <v>585</v>
      </c>
      <c r="D13" s="54" t="s">
        <v>586</v>
      </c>
      <c r="E13" s="53" t="s">
        <v>559</v>
      </c>
      <c r="F13" s="53" t="s">
        <v>545</v>
      </c>
    </row>
    <row r="14" spans="1:6" ht="27.75" customHeight="1" x14ac:dyDescent="0.3">
      <c r="A14" s="55" t="s">
        <v>133</v>
      </c>
      <c r="B14" s="55" t="s">
        <v>587</v>
      </c>
      <c r="C14" s="56" t="s">
        <v>588</v>
      </c>
      <c r="D14" s="57" t="s">
        <v>589</v>
      </c>
      <c r="E14" s="56" t="s">
        <v>590</v>
      </c>
      <c r="F14" s="56" t="s">
        <v>545</v>
      </c>
    </row>
    <row r="15" spans="1:6" ht="27.75" customHeight="1" x14ac:dyDescent="0.3">
      <c r="A15" s="52" t="s">
        <v>591</v>
      </c>
      <c r="B15" s="52" t="s">
        <v>592</v>
      </c>
      <c r="C15" s="53" t="s">
        <v>593</v>
      </c>
      <c r="D15" s="54" t="s">
        <v>594</v>
      </c>
      <c r="E15" s="53" t="s">
        <v>590</v>
      </c>
      <c r="F15" s="53" t="s">
        <v>545</v>
      </c>
    </row>
  </sheetData>
  <mergeCells count="1">
    <mergeCell ref="A1:F1"/>
  </mergeCells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6:J26"/>
  <sheetViews>
    <sheetView topLeftCell="D1" zoomScale="120" zoomScaleNormal="120" workbookViewId="0">
      <selection activeCell="E5" sqref="E5"/>
    </sheetView>
  </sheetViews>
  <sheetFormatPr defaultColWidth="8.6640625" defaultRowHeight="14.4" x14ac:dyDescent="0.3"/>
  <cols>
    <col min="3" max="3" width="24.77734375" customWidth="1"/>
    <col min="4" max="4" width="26.109375" customWidth="1"/>
    <col min="5" max="5" width="35" customWidth="1"/>
    <col min="6" max="6" width="19.88671875" customWidth="1"/>
    <col min="7" max="9" width="15" customWidth="1"/>
    <col min="10" max="10" width="40" customWidth="1"/>
  </cols>
  <sheetData>
    <row r="6" spans="3:10" ht="19.5" customHeight="1" x14ac:dyDescent="0.4">
      <c r="C6" s="58" t="s">
        <v>451</v>
      </c>
      <c r="D6" s="58" t="s">
        <v>595</v>
      </c>
      <c r="E6" s="58" t="s">
        <v>596</v>
      </c>
      <c r="F6" s="58" t="s">
        <v>597</v>
      </c>
      <c r="G6" s="58" t="s">
        <v>598</v>
      </c>
      <c r="H6" s="58" t="s">
        <v>599</v>
      </c>
      <c r="I6" s="58" t="s">
        <v>600</v>
      </c>
      <c r="J6" s="58" t="s">
        <v>601</v>
      </c>
    </row>
    <row r="7" spans="3:10" ht="14.25" customHeight="1" x14ac:dyDescent="0.3">
      <c r="C7" s="59" t="s">
        <v>602</v>
      </c>
      <c r="D7" s="59" t="s">
        <v>603</v>
      </c>
      <c r="E7" s="59" t="s">
        <v>604</v>
      </c>
      <c r="F7" s="59" t="s">
        <v>605</v>
      </c>
      <c r="G7" s="59">
        <v>15</v>
      </c>
      <c r="H7" s="59">
        <v>850</v>
      </c>
      <c r="I7" s="59">
        <v>95000</v>
      </c>
      <c r="J7" s="59" t="s">
        <v>606</v>
      </c>
    </row>
    <row r="8" spans="3:10" ht="14.25" customHeight="1" x14ac:dyDescent="0.3">
      <c r="C8" s="59" t="s">
        <v>607</v>
      </c>
      <c r="D8" s="59" t="s">
        <v>608</v>
      </c>
      <c r="E8" s="59" t="s">
        <v>609</v>
      </c>
      <c r="F8" s="59" t="s">
        <v>610</v>
      </c>
      <c r="G8" s="59">
        <v>0</v>
      </c>
      <c r="H8" s="59">
        <v>1200</v>
      </c>
      <c r="I8" s="59">
        <v>450</v>
      </c>
      <c r="J8" s="59" t="s">
        <v>611</v>
      </c>
    </row>
    <row r="9" spans="3:10" ht="14.25" customHeight="1" x14ac:dyDescent="0.3">
      <c r="C9" s="59" t="s">
        <v>612</v>
      </c>
      <c r="D9" s="59" t="s">
        <v>613</v>
      </c>
      <c r="E9" s="59" t="s">
        <v>614</v>
      </c>
      <c r="F9" s="59" t="s">
        <v>615</v>
      </c>
      <c r="G9" s="59">
        <v>2</v>
      </c>
      <c r="H9" s="59">
        <v>180</v>
      </c>
      <c r="I9" s="59">
        <v>750</v>
      </c>
      <c r="J9" s="59" t="s">
        <v>616</v>
      </c>
    </row>
    <row r="10" spans="3:10" ht="14.25" customHeight="1" x14ac:dyDescent="0.3">
      <c r="C10" s="59" t="s">
        <v>617</v>
      </c>
      <c r="D10" s="59" t="s">
        <v>618</v>
      </c>
      <c r="E10" s="59" t="s">
        <v>619</v>
      </c>
      <c r="F10" s="59" t="s">
        <v>605</v>
      </c>
      <c r="G10" s="59">
        <v>0</v>
      </c>
      <c r="H10" s="59">
        <v>120</v>
      </c>
      <c r="I10" s="59">
        <v>1200</v>
      </c>
      <c r="J10" s="59" t="s">
        <v>620</v>
      </c>
    </row>
    <row r="11" spans="3:10" ht="14.25" customHeight="1" x14ac:dyDescent="0.3">
      <c r="C11" s="59" t="s">
        <v>621</v>
      </c>
      <c r="D11" s="59" t="s">
        <v>622</v>
      </c>
      <c r="E11" s="59" t="s">
        <v>623</v>
      </c>
      <c r="F11" s="59" t="s">
        <v>605</v>
      </c>
      <c r="G11" s="59">
        <v>0</v>
      </c>
      <c r="H11" s="59">
        <v>200</v>
      </c>
      <c r="I11" s="59">
        <v>3500</v>
      </c>
      <c r="J11" s="59" t="s">
        <v>624</v>
      </c>
    </row>
    <row r="12" spans="3:10" ht="14.25" customHeight="1" x14ac:dyDescent="0.3">
      <c r="C12" s="59" t="s">
        <v>625</v>
      </c>
      <c r="D12" s="59" t="s">
        <v>626</v>
      </c>
      <c r="E12" s="59" t="s">
        <v>627</v>
      </c>
      <c r="F12" s="59" t="s">
        <v>605</v>
      </c>
      <c r="G12" s="59">
        <v>8</v>
      </c>
      <c r="H12" s="59">
        <v>400</v>
      </c>
      <c r="I12" s="59">
        <v>8500</v>
      </c>
      <c r="J12" s="59" t="s">
        <v>628</v>
      </c>
    </row>
    <row r="13" spans="3:10" ht="14.25" customHeight="1" x14ac:dyDescent="0.3">
      <c r="C13" s="59" t="s">
        <v>629</v>
      </c>
      <c r="D13" s="59" t="s">
        <v>630</v>
      </c>
      <c r="E13" s="59" t="s">
        <v>631</v>
      </c>
      <c r="F13" s="59" t="s">
        <v>632</v>
      </c>
      <c r="G13" s="59">
        <v>12</v>
      </c>
      <c r="H13" s="59">
        <v>95</v>
      </c>
      <c r="I13" s="59">
        <v>320</v>
      </c>
      <c r="J13" s="59" t="s">
        <v>633</v>
      </c>
    </row>
    <row r="14" spans="3:10" ht="14.25" customHeight="1" x14ac:dyDescent="0.3">
      <c r="C14" s="59" t="s">
        <v>634</v>
      </c>
      <c r="D14" s="59" t="s">
        <v>635</v>
      </c>
      <c r="E14" s="59" t="s">
        <v>636</v>
      </c>
      <c r="F14" s="59" t="s">
        <v>637</v>
      </c>
      <c r="G14" s="59">
        <v>25</v>
      </c>
      <c r="H14" s="59">
        <v>300</v>
      </c>
      <c r="I14" s="59">
        <v>2400</v>
      </c>
      <c r="J14" s="59" t="s">
        <v>638</v>
      </c>
    </row>
    <row r="15" spans="3:10" ht="14.25" customHeight="1" x14ac:dyDescent="0.3">
      <c r="C15" s="59" t="s">
        <v>639</v>
      </c>
      <c r="D15" s="59" t="s">
        <v>640</v>
      </c>
      <c r="E15" s="59" t="s">
        <v>641</v>
      </c>
      <c r="F15" s="59" t="s">
        <v>642</v>
      </c>
      <c r="G15" s="59">
        <v>35</v>
      </c>
      <c r="H15" s="59">
        <v>650</v>
      </c>
      <c r="I15" s="59">
        <v>1850</v>
      </c>
      <c r="J15" s="59" t="s">
        <v>643</v>
      </c>
    </row>
    <row r="16" spans="3:10" ht="14.25" customHeight="1" x14ac:dyDescent="0.3">
      <c r="C16" s="59" t="s">
        <v>644</v>
      </c>
      <c r="D16" s="59" t="s">
        <v>645</v>
      </c>
      <c r="E16" s="59" t="s">
        <v>646</v>
      </c>
      <c r="F16" s="59" t="s">
        <v>605</v>
      </c>
      <c r="G16" s="59">
        <v>0</v>
      </c>
      <c r="H16" s="59">
        <v>180</v>
      </c>
      <c r="I16" s="59">
        <v>4500</v>
      </c>
      <c r="J16" s="59" t="s">
        <v>647</v>
      </c>
    </row>
    <row r="17" spans="3:10" ht="14.25" customHeight="1" x14ac:dyDescent="0.3">
      <c r="C17" s="60"/>
      <c r="D17" s="60"/>
      <c r="E17" s="60"/>
      <c r="F17" s="60"/>
      <c r="G17" s="60"/>
      <c r="H17" s="60"/>
      <c r="I17" s="60"/>
      <c r="J17" s="60"/>
    </row>
    <row r="18" spans="3:10" ht="14.25" customHeight="1" x14ac:dyDescent="0.3">
      <c r="C18" s="60" t="s">
        <v>648</v>
      </c>
      <c r="D18" s="60"/>
      <c r="E18" s="60"/>
      <c r="F18" s="60"/>
      <c r="G18" s="59">
        <f>SUM(G7:G16)</f>
        <v>97</v>
      </c>
      <c r="H18" s="59">
        <f>SUM(H7:H16)</f>
        <v>4175</v>
      </c>
      <c r="I18" s="59">
        <f>SUM(I7:I16)</f>
        <v>118470</v>
      </c>
      <c r="J18" s="60"/>
    </row>
    <row r="20" spans="3:10" ht="14.25" customHeight="1" x14ac:dyDescent="0.3">
      <c r="C20" s="61" t="s">
        <v>649</v>
      </c>
    </row>
    <row r="21" spans="3:10" ht="14.25" customHeight="1" x14ac:dyDescent="0.3">
      <c r="C21" t="s">
        <v>650</v>
      </c>
    </row>
    <row r="22" spans="3:10" ht="14.25" customHeight="1" x14ac:dyDescent="0.3">
      <c r="C22" t="s">
        <v>651</v>
      </c>
    </row>
    <row r="23" spans="3:10" ht="14.25" customHeight="1" x14ac:dyDescent="0.3">
      <c r="C23" t="s">
        <v>652</v>
      </c>
    </row>
    <row r="24" spans="3:10" ht="14.25" customHeight="1" x14ac:dyDescent="0.3">
      <c r="C24" t="s">
        <v>653</v>
      </c>
    </row>
    <row r="25" spans="3:10" ht="14.25" customHeight="1" x14ac:dyDescent="0.3">
      <c r="C25" t="s">
        <v>654</v>
      </c>
    </row>
    <row r="26" spans="3:10" ht="14.25" customHeight="1" x14ac:dyDescent="0.3">
      <c r="C26" t="s">
        <v>655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FCE9-A812-4D59-90E6-840A7BEBF4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B9F8-E37C-43CA-8B40-E12EC9B5EFBE}">
  <dimension ref="A1"/>
  <sheetViews>
    <sheetView topLeftCell="A13"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F36"/>
  <sheetViews>
    <sheetView topLeftCell="A13" zoomScaleNormal="100" workbookViewId="0">
      <selection activeCell="I33" sqref="I33"/>
    </sheetView>
  </sheetViews>
  <sheetFormatPr defaultColWidth="8.6640625" defaultRowHeight="14.4" x14ac:dyDescent="0.3"/>
  <cols>
    <col min="3" max="4" width="25" customWidth="1"/>
    <col min="5" max="5" width="40" customWidth="1"/>
    <col min="6" max="6" width="25" customWidth="1"/>
  </cols>
  <sheetData>
    <row r="4" spans="3:6" ht="14.25" customHeight="1" x14ac:dyDescent="0.3">
      <c r="C4" s="62" t="s">
        <v>656</v>
      </c>
      <c r="D4" s="62" t="s">
        <v>657</v>
      </c>
      <c r="E4" s="62" t="s">
        <v>596</v>
      </c>
      <c r="F4" s="62" t="s">
        <v>658</v>
      </c>
    </row>
    <row r="5" spans="3:6" ht="14.25" customHeight="1" x14ac:dyDescent="0.3">
      <c r="C5" s="15" t="s">
        <v>659</v>
      </c>
      <c r="D5" s="15" t="s">
        <v>660</v>
      </c>
      <c r="E5" s="15" t="s">
        <v>661</v>
      </c>
      <c r="F5" s="15" t="s">
        <v>662</v>
      </c>
    </row>
    <row r="6" spans="3:6" ht="14.25" customHeight="1" x14ac:dyDescent="0.3">
      <c r="C6" s="15" t="s">
        <v>663</v>
      </c>
      <c r="D6" s="15" t="s">
        <v>664</v>
      </c>
      <c r="E6" s="15" t="s">
        <v>661</v>
      </c>
      <c r="F6" s="15" t="s">
        <v>662</v>
      </c>
    </row>
    <row r="7" spans="3:6" ht="14.25" customHeight="1" x14ac:dyDescent="0.3">
      <c r="C7" s="15" t="s">
        <v>665</v>
      </c>
      <c r="D7" s="15" t="s">
        <v>666</v>
      </c>
      <c r="E7" s="15" t="s">
        <v>667</v>
      </c>
      <c r="F7" s="15" t="s">
        <v>668</v>
      </c>
    </row>
    <row r="8" spans="3:6" ht="14.25" customHeight="1" x14ac:dyDescent="0.3">
      <c r="C8" s="15" t="s">
        <v>669</v>
      </c>
      <c r="D8" s="15" t="s">
        <v>670</v>
      </c>
      <c r="E8" s="15" t="s">
        <v>671</v>
      </c>
      <c r="F8" s="15" t="s">
        <v>672</v>
      </c>
    </row>
    <row r="9" spans="3:6" ht="14.25" customHeight="1" x14ac:dyDescent="0.3">
      <c r="C9" s="15" t="s">
        <v>673</v>
      </c>
      <c r="D9" s="15" t="s">
        <v>674</v>
      </c>
      <c r="E9" s="15" t="s">
        <v>675</v>
      </c>
      <c r="F9" s="15" t="s">
        <v>676</v>
      </c>
    </row>
    <row r="10" spans="3:6" ht="14.25" customHeight="1" x14ac:dyDescent="0.3">
      <c r="C10" s="15" t="s">
        <v>677</v>
      </c>
      <c r="D10" s="15" t="s">
        <v>678</v>
      </c>
      <c r="E10" s="15" t="s">
        <v>679</v>
      </c>
      <c r="F10" s="15" t="s">
        <v>680</v>
      </c>
    </row>
    <row r="11" spans="3:6" ht="14.25" customHeight="1" x14ac:dyDescent="0.3">
      <c r="C11" s="15" t="s">
        <v>681</v>
      </c>
      <c r="D11" s="15" t="s">
        <v>682</v>
      </c>
      <c r="E11" s="15" t="s">
        <v>683</v>
      </c>
      <c r="F11" s="15" t="s">
        <v>684</v>
      </c>
    </row>
    <row r="12" spans="3:6" ht="14.25" customHeight="1" x14ac:dyDescent="0.3">
      <c r="C12" s="15" t="s">
        <v>685</v>
      </c>
      <c r="D12" s="15" t="s">
        <v>686</v>
      </c>
      <c r="E12" s="15" t="s">
        <v>687</v>
      </c>
      <c r="F12" s="15" t="s">
        <v>688</v>
      </c>
    </row>
    <row r="13" spans="3:6" ht="14.25" customHeight="1" x14ac:dyDescent="0.3">
      <c r="C13" s="15" t="s">
        <v>689</v>
      </c>
      <c r="D13" s="15" t="s">
        <v>690</v>
      </c>
      <c r="E13" s="15" t="s">
        <v>691</v>
      </c>
      <c r="F13" s="15" t="s">
        <v>692</v>
      </c>
    </row>
    <row r="14" spans="3:6" ht="14.25" customHeight="1" x14ac:dyDescent="0.3">
      <c r="C14" s="15" t="s">
        <v>693</v>
      </c>
      <c r="D14" s="15" t="s">
        <v>694</v>
      </c>
      <c r="E14" s="15" t="s">
        <v>695</v>
      </c>
      <c r="F14" s="15" t="s">
        <v>696</v>
      </c>
    </row>
    <row r="15" spans="3:6" ht="14.25" customHeight="1" x14ac:dyDescent="0.3">
      <c r="C15" s="15" t="s">
        <v>697</v>
      </c>
      <c r="D15" s="15" t="s">
        <v>698</v>
      </c>
      <c r="E15" s="15" t="s">
        <v>699</v>
      </c>
      <c r="F15" s="15" t="s">
        <v>700</v>
      </c>
    </row>
    <row r="16" spans="3:6" ht="14.25" customHeight="1" x14ac:dyDescent="0.3">
      <c r="C16" s="15" t="s">
        <v>701</v>
      </c>
      <c r="D16" s="15" t="s">
        <v>702</v>
      </c>
      <c r="E16" s="15" t="s">
        <v>703</v>
      </c>
      <c r="F16" s="15" t="s">
        <v>704</v>
      </c>
    </row>
    <row r="17" spans="3:6" ht="14.25" customHeight="1" x14ac:dyDescent="0.3">
      <c r="C17" s="15" t="s">
        <v>705</v>
      </c>
      <c r="D17" s="15" t="s">
        <v>706</v>
      </c>
      <c r="E17" s="15" t="s">
        <v>707</v>
      </c>
      <c r="F17" s="15" t="s">
        <v>708</v>
      </c>
    </row>
    <row r="18" spans="3:6" ht="14.25" customHeight="1" x14ac:dyDescent="0.3">
      <c r="C18" s="15" t="s">
        <v>709</v>
      </c>
      <c r="D18" s="15" t="s">
        <v>710</v>
      </c>
      <c r="E18" s="15" t="s">
        <v>711</v>
      </c>
      <c r="F18" s="15" t="s">
        <v>712</v>
      </c>
    </row>
    <row r="19" spans="3:6" ht="14.25" customHeight="1" x14ac:dyDescent="0.3">
      <c r="C19" s="15" t="s">
        <v>713</v>
      </c>
      <c r="D19" s="15" t="s">
        <v>714</v>
      </c>
      <c r="E19" s="15" t="s">
        <v>715</v>
      </c>
      <c r="F19" s="15" t="s">
        <v>716</v>
      </c>
    </row>
    <row r="22" spans="3:6" ht="14.25" customHeight="1" x14ac:dyDescent="0.3">
      <c r="C22" s="63" t="s">
        <v>717</v>
      </c>
      <c r="D22" s="15"/>
      <c r="E22" s="15"/>
      <c r="F22" s="15"/>
    </row>
    <row r="23" spans="3:6" ht="14.25" customHeight="1" x14ac:dyDescent="0.3">
      <c r="C23" s="15" t="s">
        <v>718</v>
      </c>
      <c r="D23" s="15" t="s">
        <v>719</v>
      </c>
      <c r="E23" s="15" t="s">
        <v>720</v>
      </c>
      <c r="F23" s="15" t="s">
        <v>721</v>
      </c>
    </row>
    <row r="24" spans="3:6" ht="14.25" customHeight="1" x14ac:dyDescent="0.3">
      <c r="C24" s="15" t="s">
        <v>722</v>
      </c>
      <c r="D24" s="15" t="s">
        <v>723</v>
      </c>
      <c r="E24" s="15" t="s">
        <v>724</v>
      </c>
      <c r="F24" s="15" t="s">
        <v>725</v>
      </c>
    </row>
    <row r="25" spans="3:6" ht="14.25" customHeight="1" x14ac:dyDescent="0.3">
      <c r="C25" s="15" t="s">
        <v>726</v>
      </c>
      <c r="D25" s="15" t="s">
        <v>727</v>
      </c>
      <c r="E25" s="15" t="s">
        <v>728</v>
      </c>
      <c r="F25" s="15" t="s">
        <v>729</v>
      </c>
    </row>
    <row r="26" spans="3:6" ht="14.25" customHeight="1" x14ac:dyDescent="0.3">
      <c r="C26" s="15" t="s">
        <v>730</v>
      </c>
      <c r="D26" s="15" t="s">
        <v>731</v>
      </c>
      <c r="E26" s="15" t="s">
        <v>732</v>
      </c>
      <c r="F26" s="15" t="s">
        <v>733</v>
      </c>
    </row>
    <row r="27" spans="3:6" ht="14.25" customHeight="1" x14ac:dyDescent="0.3">
      <c r="C27" s="15" t="s">
        <v>734</v>
      </c>
      <c r="D27" s="15" t="s">
        <v>735</v>
      </c>
      <c r="E27" s="15" t="s">
        <v>736</v>
      </c>
      <c r="F27" s="15" t="s">
        <v>737</v>
      </c>
    </row>
    <row r="28" spans="3:6" ht="14.25" customHeight="1" x14ac:dyDescent="0.3">
      <c r="C28" s="15"/>
      <c r="D28" s="15"/>
      <c r="E28" s="15"/>
      <c r="F28" s="15"/>
    </row>
    <row r="30" spans="3:6" ht="14.25" customHeight="1" x14ac:dyDescent="0.3">
      <c r="C30" s="63" t="s">
        <v>738</v>
      </c>
      <c r="D30" s="15"/>
      <c r="E30" s="15"/>
      <c r="F30" s="15"/>
    </row>
    <row r="31" spans="3:6" ht="14.25" customHeight="1" x14ac:dyDescent="0.3">
      <c r="C31" s="15" t="s">
        <v>739</v>
      </c>
      <c r="D31" s="15" t="s">
        <v>740</v>
      </c>
      <c r="E31" s="15" t="s">
        <v>741</v>
      </c>
      <c r="F31" s="15" t="s">
        <v>742</v>
      </c>
    </row>
    <row r="32" spans="3:6" ht="14.25" customHeight="1" x14ac:dyDescent="0.3">
      <c r="C32" s="15" t="s">
        <v>743</v>
      </c>
      <c r="D32" s="15" t="s">
        <v>744</v>
      </c>
      <c r="E32" s="15" t="s">
        <v>745</v>
      </c>
      <c r="F32" s="15" t="s">
        <v>746</v>
      </c>
    </row>
    <row r="33" spans="3:6" ht="14.25" customHeight="1" x14ac:dyDescent="0.3">
      <c r="C33" s="15" t="s">
        <v>747</v>
      </c>
      <c r="D33" s="15" t="s">
        <v>748</v>
      </c>
      <c r="E33" s="15" t="s">
        <v>749</v>
      </c>
      <c r="F33" s="15" t="s">
        <v>750</v>
      </c>
    </row>
    <row r="34" spans="3:6" ht="14.25" customHeight="1" x14ac:dyDescent="0.3">
      <c r="C34" s="15" t="s">
        <v>751</v>
      </c>
      <c r="D34" s="15" t="s">
        <v>752</v>
      </c>
      <c r="E34" s="15" t="s">
        <v>753</v>
      </c>
      <c r="F34" s="15" t="s">
        <v>754</v>
      </c>
    </row>
    <row r="35" spans="3:6" ht="14.25" customHeight="1" x14ac:dyDescent="0.3">
      <c r="C35" s="15" t="s">
        <v>755</v>
      </c>
      <c r="D35" s="15" t="s">
        <v>756</v>
      </c>
      <c r="E35" s="15" t="s">
        <v>757</v>
      </c>
      <c r="F35" s="15" t="s">
        <v>758</v>
      </c>
    </row>
    <row r="36" spans="3:6" ht="14.25" customHeight="1" x14ac:dyDescent="0.3">
      <c r="C36" s="15"/>
      <c r="D36" s="15"/>
      <c r="E36" s="15"/>
      <c r="F36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zoomScaleNormal="100" workbookViewId="0"/>
  </sheetViews>
  <sheetFormatPr defaultColWidth="8.6640625" defaultRowHeight="14.4" x14ac:dyDescent="0.3"/>
  <cols>
    <col min="1" max="6" width="20" customWidth="1"/>
  </cols>
  <sheetData>
    <row r="1" spans="1:6" ht="14.25" customHeight="1" x14ac:dyDescent="0.3">
      <c r="A1" s="64" t="s">
        <v>759</v>
      </c>
      <c r="B1" s="64" t="s">
        <v>760</v>
      </c>
      <c r="C1" s="64" t="s">
        <v>761</v>
      </c>
      <c r="D1" s="64" t="s">
        <v>762</v>
      </c>
      <c r="E1" s="64" t="s">
        <v>763</v>
      </c>
      <c r="F1" s="64" t="s">
        <v>764</v>
      </c>
    </row>
    <row r="2" spans="1:6" ht="14.25" customHeight="1" x14ac:dyDescent="0.3">
      <c r="A2" t="s">
        <v>765</v>
      </c>
      <c r="B2" t="s">
        <v>766</v>
      </c>
      <c r="C2" t="s">
        <v>767</v>
      </c>
      <c r="D2" t="s">
        <v>768</v>
      </c>
      <c r="E2" t="s">
        <v>769</v>
      </c>
      <c r="F2" s="65" t="s">
        <v>770</v>
      </c>
    </row>
    <row r="3" spans="1:6" ht="14.25" customHeight="1" x14ac:dyDescent="0.3">
      <c r="A3" t="s">
        <v>771</v>
      </c>
      <c r="B3" t="s">
        <v>772</v>
      </c>
      <c r="C3" t="s">
        <v>773</v>
      </c>
      <c r="D3" t="s">
        <v>774</v>
      </c>
      <c r="E3" t="s">
        <v>775</v>
      </c>
      <c r="F3" s="65" t="s">
        <v>770</v>
      </c>
    </row>
    <row r="4" spans="1:6" ht="14.25" customHeight="1" x14ac:dyDescent="0.3">
      <c r="A4" t="s">
        <v>776</v>
      </c>
      <c r="B4" t="s">
        <v>777</v>
      </c>
      <c r="C4" t="s">
        <v>778</v>
      </c>
      <c r="D4" t="s">
        <v>779</v>
      </c>
      <c r="E4" t="s">
        <v>780</v>
      </c>
      <c r="F4" s="65" t="s">
        <v>770</v>
      </c>
    </row>
    <row r="5" spans="1:6" ht="14.25" customHeight="1" x14ac:dyDescent="0.3">
      <c r="A5" t="s">
        <v>781</v>
      </c>
      <c r="B5" t="s">
        <v>782</v>
      </c>
      <c r="C5" t="s">
        <v>783</v>
      </c>
      <c r="D5" t="s">
        <v>784</v>
      </c>
      <c r="E5" t="s">
        <v>769</v>
      </c>
      <c r="F5" s="65" t="s">
        <v>770</v>
      </c>
    </row>
    <row r="6" spans="1:6" ht="14.25" customHeight="1" x14ac:dyDescent="0.3">
      <c r="A6" t="s">
        <v>785</v>
      </c>
      <c r="B6" t="s">
        <v>786</v>
      </c>
      <c r="C6" t="s">
        <v>787</v>
      </c>
      <c r="D6" t="s">
        <v>788</v>
      </c>
      <c r="E6" t="s">
        <v>789</v>
      </c>
      <c r="F6" s="65" t="s">
        <v>770</v>
      </c>
    </row>
    <row r="7" spans="1:6" ht="14.25" customHeight="1" x14ac:dyDescent="0.3">
      <c r="A7" t="s">
        <v>790</v>
      </c>
      <c r="B7" t="s">
        <v>791</v>
      </c>
      <c r="C7" t="s">
        <v>792</v>
      </c>
      <c r="D7" t="s">
        <v>793</v>
      </c>
      <c r="E7" t="s">
        <v>769</v>
      </c>
      <c r="F7" s="65" t="s">
        <v>770</v>
      </c>
    </row>
    <row r="8" spans="1:6" ht="14.25" customHeight="1" x14ac:dyDescent="0.3">
      <c r="A8" t="s">
        <v>794</v>
      </c>
      <c r="B8" t="s">
        <v>795</v>
      </c>
      <c r="C8" t="s">
        <v>796</v>
      </c>
      <c r="D8" t="s">
        <v>797</v>
      </c>
      <c r="E8" t="s">
        <v>769</v>
      </c>
      <c r="F8" s="65" t="s">
        <v>770</v>
      </c>
    </row>
    <row r="9" spans="1:6" ht="14.25" customHeight="1" x14ac:dyDescent="0.3">
      <c r="A9" t="s">
        <v>798</v>
      </c>
      <c r="B9" t="s">
        <v>799</v>
      </c>
      <c r="C9" t="s">
        <v>800</v>
      </c>
      <c r="D9" t="s">
        <v>801</v>
      </c>
      <c r="E9" t="s">
        <v>802</v>
      </c>
      <c r="F9" s="65" t="s">
        <v>770</v>
      </c>
    </row>
    <row r="10" spans="1:6" ht="14.25" customHeight="1" x14ac:dyDescent="0.3">
      <c r="A10" t="s">
        <v>803</v>
      </c>
      <c r="B10" t="s">
        <v>804</v>
      </c>
      <c r="C10" t="s">
        <v>805</v>
      </c>
      <c r="D10" t="s">
        <v>806</v>
      </c>
      <c r="E10" t="s">
        <v>775</v>
      </c>
      <c r="F10" s="65" t="s">
        <v>770</v>
      </c>
    </row>
    <row r="11" spans="1:6" ht="14.25" customHeight="1" x14ac:dyDescent="0.3">
      <c r="A11" t="s">
        <v>807</v>
      </c>
      <c r="B11" t="s">
        <v>808</v>
      </c>
      <c r="C11" t="s">
        <v>809</v>
      </c>
      <c r="D11" t="s">
        <v>810</v>
      </c>
      <c r="E11" t="s">
        <v>769</v>
      </c>
      <c r="F11" s="65" t="s">
        <v>770</v>
      </c>
    </row>
    <row r="14" spans="1:6" ht="18" customHeight="1" x14ac:dyDescent="0.35">
      <c r="A14" s="66" t="s">
        <v>811</v>
      </c>
    </row>
    <row r="15" spans="1:6" ht="14.25" customHeight="1" x14ac:dyDescent="0.3">
      <c r="A15" s="79" t="s">
        <v>812</v>
      </c>
      <c r="B15" s="79"/>
      <c r="C15" s="79"/>
      <c r="D15" s="79"/>
      <c r="E15" s="79"/>
      <c r="F15" s="79"/>
    </row>
    <row r="16" spans="1:6" ht="14.25" customHeight="1" x14ac:dyDescent="0.3">
      <c r="A16" s="79" t="s">
        <v>813</v>
      </c>
      <c r="B16" s="79"/>
      <c r="C16" s="79"/>
      <c r="D16" s="79"/>
      <c r="E16" s="79"/>
      <c r="F16" s="79"/>
    </row>
    <row r="17" spans="1:6" ht="14.25" customHeight="1" x14ac:dyDescent="0.3">
      <c r="A17" s="79" t="s">
        <v>814</v>
      </c>
      <c r="B17" s="79"/>
      <c r="C17" s="79"/>
      <c r="D17" s="79"/>
      <c r="E17" s="79"/>
      <c r="F17" s="79"/>
    </row>
    <row r="18" spans="1:6" ht="14.25" customHeight="1" x14ac:dyDescent="0.3">
      <c r="A18" s="79" t="s">
        <v>815</v>
      </c>
      <c r="B18" s="79"/>
      <c r="C18" s="79"/>
      <c r="D18" s="79"/>
      <c r="E18" s="79"/>
      <c r="F18" s="79"/>
    </row>
    <row r="19" spans="1:6" ht="14.25" customHeight="1" x14ac:dyDescent="0.3">
      <c r="A19" s="79" t="s">
        <v>816</v>
      </c>
      <c r="B19" s="79"/>
      <c r="C19" s="79"/>
      <c r="D19" s="79"/>
      <c r="E19" s="79"/>
      <c r="F19" s="79"/>
    </row>
    <row r="22" spans="1:6" ht="14.25" customHeight="1" x14ac:dyDescent="0.3">
      <c r="A22" s="61" t="s">
        <v>817</v>
      </c>
    </row>
    <row r="23" spans="1:6" ht="14.25" customHeight="1" x14ac:dyDescent="0.3">
      <c r="A23" t="s">
        <v>818</v>
      </c>
      <c r="B23" t="s">
        <v>819</v>
      </c>
    </row>
    <row r="24" spans="1:6" ht="14.25" customHeight="1" x14ac:dyDescent="0.3">
      <c r="A24" t="s">
        <v>820</v>
      </c>
      <c r="B24" t="s">
        <v>821</v>
      </c>
    </row>
    <row r="25" spans="1:6" ht="14.25" customHeight="1" x14ac:dyDescent="0.3">
      <c r="A25" t="s">
        <v>822</v>
      </c>
      <c r="B25" t="s">
        <v>823</v>
      </c>
    </row>
    <row r="26" spans="1:6" ht="14.25" customHeight="1" x14ac:dyDescent="0.3">
      <c r="A26" t="s">
        <v>824</v>
      </c>
      <c r="B26" t="s">
        <v>825</v>
      </c>
    </row>
    <row r="27" spans="1:6" ht="14.25" customHeight="1" x14ac:dyDescent="0.3">
      <c r="A27" s="61" t="s">
        <v>826</v>
      </c>
      <c r="B27" s="61" t="s">
        <v>827</v>
      </c>
    </row>
  </sheetData>
  <mergeCells count="5">
    <mergeCell ref="A15:F15"/>
    <mergeCell ref="A16:F16"/>
    <mergeCell ref="A17:F17"/>
    <mergeCell ref="A18:F18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BOM</vt:lpstr>
      <vt:lpstr>System Summary</vt:lpstr>
      <vt:lpstr>Bio-Intel DNA Stack</vt:lpstr>
      <vt:lpstr>RLVR Reward Matrix</vt:lpstr>
      <vt:lpstr>Claude Code Setup</vt:lpstr>
      <vt:lpstr>Pneumatic Sample System</vt:lpstr>
      <vt:lpstr>Sheet1</vt:lpstr>
      <vt:lpstr>Sheet2</vt:lpstr>
      <vt:lpstr>Mission Coordinates</vt:lpstr>
      <vt:lpstr>NASARAP Manufacturing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Arnold Cruz</cp:lastModifiedBy>
  <cp:revision>0</cp:revision>
  <cp:lastPrinted>2026-03-28T19:19:35Z</cp:lastPrinted>
  <dcterms:created xsi:type="dcterms:W3CDTF">2026-03-28T18:56:48Z</dcterms:created>
  <dcterms:modified xsi:type="dcterms:W3CDTF">2026-07-20T18:35:51Z</dcterms:modified>
  <dc:language>en-US</dc:language>
</cp:coreProperties>
</file>